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0" showHorizontalScroll="1" showVerticalScroll="1"/>
  </bookViews>
  <sheets>
    <sheet name="Experiment Data" sheetId="1" state="visible" r:id="rId1"/>
    <sheet name="Data Entry Guide" sheetId="2" state="visible" r:id="rId2"/>
    <sheet name="How to Cite" sheetId="3" state="visible" r:id="rId3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<sst xmlns="http://schemas.openxmlformats.org/spreadsheetml/2006/main" count="362" uniqueCount="362">
  <si>
    <t xml:space="preserve">Experiment Info</t>
  </si>
  <si>
    <t xml:space="preserve">1: Screen Printing</t>
  </si>
  <si>
    <t>Date</t>
  </si>
  <si>
    <t>Project_Name</t>
  </si>
  <si>
    <t>Batch</t>
  </si>
  <si>
    <t>Subbatch</t>
  </si>
  <si>
    <t>Sample</t>
  </si>
  <si>
    <t xml:space="preserve">Nomad ID</t>
  </si>
  <si>
    <t>Variation</t>
  </si>
  <si>
    <t xml:space="preserve">Sample dimension</t>
  </si>
  <si>
    <t xml:space="preserve">Sample area [cm^2]</t>
  </si>
  <si>
    <t xml:space="preserve">Number of pixels</t>
  </si>
  <si>
    <t xml:space="preserve">Pixel area [cm^2]</t>
  </si>
  <si>
    <t xml:space="preserve">Substrate material</t>
  </si>
  <si>
    <t xml:space="preserve">Substrate conductive layer</t>
  </si>
  <si>
    <t xml:space="preserve">Sheet Resistance [Ohms/square]</t>
  </si>
  <si>
    <t xml:space="preserve">Transmission [%]</t>
  </si>
  <si>
    <t xml:space="preserve">Number of junctions</t>
  </si>
  <si>
    <t>Notes</t>
  </si>
  <si>
    <t>Datetime</t>
  </si>
  <si>
    <t>Operator</t>
  </si>
  <si>
    <t xml:space="preserve">Material name</t>
  </si>
  <si>
    <t xml:space="preserve">Layer type</t>
  </si>
  <si>
    <t xml:space="preserve">Tool/GB name</t>
  </si>
  <si>
    <t xml:space="preserve">Layer thickness [nm]</t>
  </si>
  <si>
    <t xml:space="preserve">Solvent 1 name</t>
  </si>
  <si>
    <t xml:space="preserve">Solvent 1 volume [uL]</t>
  </si>
  <si>
    <t xml:space="preserve">Solvent 1 relative amount</t>
  </si>
  <si>
    <t xml:space="preserve">Solvent 1 chemical ID</t>
  </si>
  <si>
    <t xml:space="preserve">Solute 1 name</t>
  </si>
  <si>
    <t xml:space="preserve">Solute 1 Concentration [mM]</t>
  </si>
  <si>
    <t xml:space="preserve">Solute 1 chemical ID</t>
  </si>
  <si>
    <t xml:space="preserve">Viscosity [mPa*s]</t>
  </si>
  <si>
    <t xml:space="preserve">Contact angle [°]</t>
  </si>
  <si>
    <t xml:space="preserve">Density [g/cm^3]</t>
  </si>
  <si>
    <t xml:space="preserve">Surface tension [mN/m]</t>
  </si>
  <si>
    <t xml:space="preserve">Solution volume [uL]</t>
  </si>
  <si>
    <t xml:space="preserve">Mesh material</t>
  </si>
  <si>
    <t xml:space="preserve">Mesh count [meshes/cm]</t>
  </si>
  <si>
    <t xml:space="preserve">Mesh thickness [um]</t>
  </si>
  <si>
    <t xml:space="preserve">Thread diameter [um]</t>
  </si>
  <si>
    <t xml:space="preserve">Mesh opening [um]</t>
  </si>
  <si>
    <t xml:space="preserve">Mesh tension [N/cm]</t>
  </si>
  <si>
    <t xml:space="preserve">Mesh angle [°]</t>
  </si>
  <si>
    <t xml:space="preserve">Emulsion material</t>
  </si>
  <si>
    <t xml:space="preserve">Emulsion thickness [um]</t>
  </si>
  <si>
    <t xml:space="preserve">Squeegee material</t>
  </si>
  <si>
    <t xml:space="preserve">Squeegee shape</t>
  </si>
  <si>
    <t xml:space="preserve">Squeegee angle [°]</t>
  </si>
  <si>
    <t xml:space="preserve">Printing speed [mm/s]</t>
  </si>
  <si>
    <t xml:space="preserve">Printing direction</t>
  </si>
  <si>
    <t xml:space="preserve">Printing pressure [bar]</t>
  </si>
  <si>
    <t xml:space="preserve">Snap-off distance [mm]</t>
  </si>
  <si>
    <t xml:space="preserve">Printing method</t>
  </si>
  <si>
    <t>Gas</t>
  </si>
  <si>
    <t xml:space="preserve">Gas quenching start time [s]</t>
  </si>
  <si>
    <t xml:space="preserve">Gas quenching duration [s]</t>
  </si>
  <si>
    <t xml:space="preserve">Gas quenching flow rate [ml/s]</t>
  </si>
  <si>
    <t xml:space="preserve">Gas quenching pressure [bar]</t>
  </si>
  <si>
    <t xml:space="preserve">Gas quenching velocity [m/s]</t>
  </si>
  <si>
    <t xml:space="preserve">Gas quenching height [mm]</t>
  </si>
  <si>
    <t xml:space="preserve">Nozzle shape</t>
  </si>
  <si>
    <t xml:space="preserve">Nozzle size [mm²]</t>
  </si>
  <si>
    <t xml:space="preserve">Air knife angle [°]</t>
  </si>
  <si>
    <t xml:space="preserve">Air knife gap [cm]</t>
  </si>
  <si>
    <t xml:space="preserve">Bead volume [mm/s]</t>
  </si>
  <si>
    <t xml:space="preserve">Drying speed [cm/min]</t>
  </si>
  <si>
    <t xml:space="preserve">Annealing time [min]</t>
  </si>
  <si>
    <t xml:space="preserve">Annealing temperature [°C]</t>
  </si>
  <si>
    <t xml:space="preserve">Annealing atmosphere</t>
  </si>
  <si>
    <t xml:space="preserve">Room temperature [°C]</t>
  </si>
  <si>
    <t xml:space="preserve">rel. humidity [%]</t>
  </si>
  <si>
    <t xml:space="preserve">GB start oxygen level [ppm]</t>
  </si>
  <si>
    <t xml:space="preserve">GB end oxygen level [ppm]</t>
  </si>
  <si>
    <t xml:space="preserve">GB start water level [ppm]</t>
  </si>
  <si>
    <t xml:space="preserve">GB end water level [ppm]</t>
  </si>
  <si>
    <t xml:space="preserve">GB start temperature [°C]</t>
  </si>
  <si>
    <t xml:space="preserve">GB end temperature [°C]</t>
  </si>
  <si>
    <t>26-02-2025</t>
  </si>
  <si>
    <t>FiNa</t>
  </si>
  <si>
    <t>1</t>
  </si>
  <si>
    <t xml:space="preserve">1000 rpm</t>
  </si>
  <si>
    <t xml:space="preserve">1 cm x 1 cm</t>
  </si>
  <si>
    <t xml:space="preserve">Soda Lime Glass</t>
  </si>
  <si>
    <t>ITO</t>
  </si>
  <si>
    <t xml:space="preserve">Test excel</t>
  </si>
  <si>
    <t xml:space="preserve">09.01.2026 10:19:00</t>
  </si>
  <si>
    <t>MaxMustermann</t>
  </si>
  <si>
    <t>Cs0.05(MA0.17FA0.83)0.95Pb(I0.83Br0.17)3</t>
  </si>
  <si>
    <t>Absorber</t>
  </si>
  <si>
    <t>HZB-HySprintBox</t>
  </si>
  <si>
    <t>DMF</t>
  </si>
  <si>
    <t>1592-461-04-2</t>
  </si>
  <si>
    <t>PbI2</t>
  </si>
  <si>
    <t>2393-752-02-3</t>
  </si>
  <si>
    <t xml:space="preserve">Stainless Steel</t>
  </si>
  <si>
    <t>Photopolymer</t>
  </si>
  <si>
    <t>Polyurethane</t>
  </si>
  <si>
    <t>Rectangle</t>
  </si>
  <si>
    <t>Forward</t>
  </si>
  <si>
    <t>R2R</t>
  </si>
  <si>
    <t>Nitrogen</t>
  </si>
  <si>
    <t>Round</t>
  </si>
  <si>
    <t xml:space="preserve">Process notes</t>
  </si>
  <si>
    <t>30</t>
  </si>
  <si>
    <t xml:space="preserve">Perovskite Solar Cell Fabrication Sequence (version Jan 2026)</t>
  </si>
  <si>
    <t xml:space="preserve">Data Entry Guide</t>
  </si>
  <si>
    <t xml:space="preserve">1. Introduction</t>
  </si>
  <si>
    <t xml:space="preserve">This guide provides instructions for filling out the spreadsheet that tracks the fabrication sequence of perovskite solar cells, supporting automated data upload to NOMAD.</t>
  </si>
  <si>
    <t xml:space="preserve">• Note: This guide is a reference. For specific questions or custom spreadsheet requests, please contact a Data Steward.</t>
  </si>
  <si>
    <t xml:space="preserve">• Customization: Each scientist may follow different fabrication steps. Data Stewards can provide a tailored spreadsheet for your workflow.</t>
  </si>
  <si>
    <t xml:space="preserve">• Coverage: Most Hysprint and IRIS lab processes are included. If you need to track additional information, contact a Data Steward.</t>
  </si>
  <si>
    <t xml:space="preserve">• Important: Do not add columns to the spreadsheet, as they will not be parsed.</t>
  </si>
  <si>
    <t xml:space="preserve">Example Fabrication Sequence:</t>
  </si>
  <si>
    <t xml:space="preserve">• Cleaning: 4 steps, UV-Ozone (ITO substrates)</t>
  </si>
  <si>
    <t xml:space="preserve">• Spin Coating: 1 solvent, 1 solute, 1 step (SAM)</t>
  </si>
  <si>
    <t xml:space="preserve">• Spin Coating: 2 solvents, 5 solutes, 2 steps, with antisolvent (Perovskite)</t>
  </si>
  <si>
    <t xml:space="preserve">• Evaporation: C60, BCP, Copper</t>
  </si>
  <si>
    <t xml:space="preserve">2. Detailed Field Descriptions</t>
  </si>
  <si>
    <t xml:space="preserve">Upload Name: Choose a descriptive upload name (e.g., project name + batch).</t>
  </si>
  <si>
    <t xml:space="preserve">Field Name</t>
  </si>
  <si>
    <t>Description</t>
  </si>
  <si>
    <t xml:space="preserve">Data Format</t>
  </si>
  <si>
    <t>Units</t>
  </si>
  <si>
    <t>Example</t>
  </si>
  <si>
    <t xml:space="preserve">Date Time</t>
  </si>
  <si>
    <t xml:space="preserve">Date and time of process</t>
  </si>
  <si>
    <t xml:space="preserve">DD.MM.YYYY HH:MM:SS</t>
  </si>
  <si>
    <t xml:space="preserve">Person who did the process</t>
  </si>
  <si>
    <t>Text</t>
  </si>
  <si>
    <t xml:space="preserve">Max Mustermann</t>
  </si>
  <si>
    <t xml:space="preserve">Date of experiment</t>
  </si>
  <si>
    <t>DD-MM-YYYY</t>
  </si>
  <si>
    <t xml:space="preserve">Scientist initials/project name</t>
  </si>
  <si>
    <t xml:space="preserve">General experiment batch number</t>
  </si>
  <si>
    <t>Number</t>
  </si>
  <si>
    <t xml:space="preserve">Subset for variations</t>
  </si>
  <si>
    <t>2</t>
  </si>
  <si>
    <t xml:space="preserve">Sample serial number</t>
  </si>
  <si>
    <t xml:space="preserve">Auto-generated sample ID</t>
  </si>
  <si>
    <t>Alphanumeric</t>
  </si>
  <si>
    <t xml:space="preserve">Subbatch variation</t>
  </si>
  <si>
    <t xml:space="preserve">Sample Dimension</t>
  </si>
  <si>
    <t xml:space="preserve">Sample size</t>
  </si>
  <si>
    <t>cm</t>
  </si>
  <si>
    <t xml:space="preserve">Sample area</t>
  </si>
  <si>
    <t xml:space="preserve">Active area (e.g., ITO/Cu overlap)</t>
  </si>
  <si>
    <t>cm²</t>
  </si>
  <si>
    <t>0.16</t>
  </si>
  <si>
    <t>6</t>
  </si>
  <si>
    <t xml:space="preserve">Pixel area</t>
  </si>
  <si>
    <t xml:space="preserve">Area per pixel</t>
  </si>
  <si>
    <t xml:space="preserve">Substrate Material</t>
  </si>
  <si>
    <t xml:space="preserve">Substrate Conductive Layer</t>
  </si>
  <si>
    <t xml:space="preserve">Conductive layer material</t>
  </si>
  <si>
    <t xml:space="preserve">Number of Junctions</t>
  </si>
  <si>
    <t xml:space="preserve">Additional notes or methods</t>
  </si>
  <si>
    <t xml:space="preserve">Step 1: Cleaning (UV-Ozone)</t>
  </si>
  <si>
    <t>Solvent</t>
  </si>
  <si>
    <t xml:space="preserve">Cleaning solvent</t>
  </si>
  <si>
    <t>Hellmanex</t>
  </si>
  <si>
    <t>Time</t>
  </si>
  <si>
    <t xml:space="preserve">Ultrasonic bath time</t>
  </si>
  <si>
    <t>s</t>
  </si>
  <si>
    <t>31</t>
  </si>
  <si>
    <t>Temperature</t>
  </si>
  <si>
    <t xml:space="preserve">Bath temperature</t>
  </si>
  <si>
    <t>°C</t>
  </si>
  <si>
    <t>61</t>
  </si>
  <si>
    <t xml:space="preserve">UV-Ozone Time</t>
  </si>
  <si>
    <t xml:space="preserve">UV-Ozone duration</t>
  </si>
  <si>
    <t>900</t>
  </si>
  <si>
    <t xml:space="preserve">Step 2: Spin Coating</t>
  </si>
  <si>
    <t xml:space="preserve">Material Name</t>
  </si>
  <si>
    <t xml:space="preserve">Coated material</t>
  </si>
  <si>
    <t xml:space="preserve">Layer Type</t>
  </si>
  <si>
    <t xml:space="preserve">Type of layer</t>
  </si>
  <si>
    <t xml:space="preserve">Tool used</t>
  </si>
  <si>
    <t xml:space="preserve">First solvent</t>
  </si>
  <si>
    <t xml:space="preserve">Solvent 1 volume</t>
  </si>
  <si>
    <t xml:space="preserve">Volume of solvent 1</t>
  </si>
  <si>
    <t>µL</t>
  </si>
  <si>
    <t>10</t>
  </si>
  <si>
    <t xml:space="preserve">Solvent 1 relative amt.</t>
  </si>
  <si>
    <t xml:space="preserve">Relative amount of solvent 1</t>
  </si>
  <si>
    <t>1.5</t>
  </si>
  <si>
    <t xml:space="preserve">First solute</t>
  </si>
  <si>
    <t xml:space="preserve">Solute 1 Concentration</t>
  </si>
  <si>
    <t xml:space="preserve">Concentration of solute 1</t>
  </si>
  <si>
    <t>mM</t>
  </si>
  <si>
    <t>1.42</t>
  </si>
  <si>
    <t xml:space="preserve">Solution volume</t>
  </si>
  <si>
    <t xml:space="preserve">Total solution volume</t>
  </si>
  <si>
    <t>100</t>
  </si>
  <si>
    <t xml:space="preserve">Spin Delay</t>
  </si>
  <si>
    <t xml:space="preserve">Delay before spinning</t>
  </si>
  <si>
    <t>0.5</t>
  </si>
  <si>
    <t xml:space="preserve">Rotation Speed 1</t>
  </si>
  <si>
    <t xml:space="preserve">First spin speed</t>
  </si>
  <si>
    <t>rpm</t>
  </si>
  <si>
    <t>3001</t>
  </si>
  <si>
    <t xml:space="preserve">Rotation time 1</t>
  </si>
  <si>
    <t xml:space="preserve">First spin time</t>
  </si>
  <si>
    <t xml:space="preserve">Acceleration 1</t>
  </si>
  <si>
    <t xml:space="preserve">First acceleration</t>
  </si>
  <si>
    <t>rpm/s</t>
  </si>
  <si>
    <t>1001</t>
  </si>
  <si>
    <t xml:space="preserve">Rotation speed 2</t>
  </si>
  <si>
    <t xml:space="preserve">Second spin speed</t>
  </si>
  <si>
    <t>3002</t>
  </si>
  <si>
    <t xml:space="preserve">Rotation time 2</t>
  </si>
  <si>
    <t xml:space="preserve">Second spin time</t>
  </si>
  <si>
    <t>32</t>
  </si>
  <si>
    <t xml:space="preserve">Acceleration 2</t>
  </si>
  <si>
    <t xml:space="preserve">Second acceleration</t>
  </si>
  <si>
    <t>1002</t>
  </si>
  <si>
    <t xml:space="preserve">Annealing Time</t>
  </si>
  <si>
    <t xml:space="preserve">Annealing duration</t>
  </si>
  <si>
    <t>min</t>
  </si>
  <si>
    <t xml:space="preserve">Annealing Temperature</t>
  </si>
  <si>
    <t xml:space="preserve">Annealing temperature</t>
  </si>
  <si>
    <t>120</t>
  </si>
  <si>
    <t xml:space="preserve">Annealing Atmosphere</t>
  </si>
  <si>
    <t xml:space="preserve">Additional notes</t>
  </si>
  <si>
    <t xml:space="preserve">Step 3: Evaporation</t>
  </si>
  <si>
    <t xml:space="preserve">Evaporated material</t>
  </si>
  <si>
    <t>PCBM</t>
  </si>
  <si>
    <t xml:space="preserve">Electron Transport Layer</t>
  </si>
  <si>
    <t xml:space="preserve">Hysprint Evap</t>
  </si>
  <si>
    <t>Organic</t>
  </si>
  <si>
    <t xml:space="preserve">Is the layer organic?</t>
  </si>
  <si>
    <t>Boolean</t>
  </si>
  <si>
    <t>True</t>
  </si>
  <si>
    <t xml:space="preserve">Sample Holder width</t>
  </si>
  <si>
    <t xml:space="preserve">Width of sample holder</t>
  </si>
  <si>
    <t>5</t>
  </si>
  <si>
    <t xml:space="preserve">Base Pressure</t>
  </si>
  <si>
    <t xml:space="preserve">Base pressure</t>
  </si>
  <si>
    <t>bar</t>
  </si>
  <si>
    <t>0.00001</t>
  </si>
  <si>
    <t xml:space="preserve">Pressure start</t>
  </si>
  <si>
    <t xml:space="preserve">Start pressure</t>
  </si>
  <si>
    <t>0.00005</t>
  </si>
  <si>
    <t xml:space="preserve">Pressure end</t>
  </si>
  <si>
    <t xml:space="preserve">End pressure</t>
  </si>
  <si>
    <t>0.00003</t>
  </si>
  <si>
    <t xml:space="preserve">Source temp. start</t>
  </si>
  <si>
    <t xml:space="preserve">Source temp. (start)</t>
  </si>
  <si>
    <t>150</t>
  </si>
  <si>
    <t xml:space="preserve">Source temp. end</t>
  </si>
  <si>
    <t xml:space="preserve">Source temp. (end)</t>
  </si>
  <si>
    <t xml:space="preserve">Substrate temperature</t>
  </si>
  <si>
    <t xml:space="preserve">Substrate temp.</t>
  </si>
  <si>
    <t>25</t>
  </si>
  <si>
    <t>Thickness</t>
  </si>
  <si>
    <t xml:space="preserve">Layer thickness</t>
  </si>
  <si>
    <t>nm</t>
  </si>
  <si>
    <t xml:space="preserve">Rate start</t>
  </si>
  <si>
    <t xml:space="preserve">Start deposition rate</t>
  </si>
  <si>
    <t>Å/s</t>
  </si>
  <si>
    <t xml:space="preserve">Rate target</t>
  </si>
  <si>
    <t xml:space="preserve">Target deposition rate</t>
  </si>
  <si>
    <t xml:space="preserve">Tooling factor</t>
  </si>
  <si>
    <t xml:space="preserve">Step 4: ALD (Atomic Layer Deposition)</t>
  </si>
  <si>
    <t xml:space="preserve">Deposited material</t>
  </si>
  <si>
    <t xml:space="preserve">IRIS ALD</t>
  </si>
  <si>
    <t>Source</t>
  </si>
  <si>
    <t xml:space="preserve">Precursor source</t>
  </si>
  <si>
    <t>TMA</t>
  </si>
  <si>
    <t xml:space="preserve">Film thickness</t>
  </si>
  <si>
    <t xml:space="preserve">Deposition temperature</t>
  </si>
  <si>
    <t>Rate</t>
  </si>
  <si>
    <t xml:space="preserve">Deposition rate</t>
  </si>
  <si>
    <t>0.1</t>
  </si>
  <si>
    <t xml:space="preserve">Deposition time</t>
  </si>
  <si>
    <t>1800</t>
  </si>
  <si>
    <t xml:space="preserve">Number of cycles</t>
  </si>
  <si>
    <t xml:space="preserve">Number of ALD cycles</t>
  </si>
  <si>
    <t>250</t>
  </si>
  <si>
    <t xml:space="preserve">Precursor 1</t>
  </si>
  <si>
    <t xml:space="preserve">First precursor</t>
  </si>
  <si>
    <t xml:space="preserve">Pulse Duration 1</t>
  </si>
  <si>
    <t xml:space="preserve">Pulse duration (precursor 1)</t>
  </si>
  <si>
    <t>0.2</t>
  </si>
  <si>
    <t xml:space="preserve">Manifold temp. 1</t>
  </si>
  <si>
    <t xml:space="preserve">Manifold temp. (precursor 1)</t>
  </si>
  <si>
    <t>80</t>
  </si>
  <si>
    <t xml:space="preserve">Bottle temp. 1</t>
  </si>
  <si>
    <t xml:space="preserve">Bottle temp. (precursor 1)</t>
  </si>
  <si>
    <t xml:space="preserve">Precursor 2</t>
  </si>
  <si>
    <t xml:space="preserve">Second precursor</t>
  </si>
  <si>
    <t>H2O</t>
  </si>
  <si>
    <t xml:space="preserve">Pulse Duration 2</t>
  </si>
  <si>
    <t xml:space="preserve">Pulse duration (precursor 2)</t>
  </si>
  <si>
    <t xml:space="preserve">Manifold temp. 2</t>
  </si>
  <si>
    <t xml:space="preserve">Manifold temp. (precursor 2)</t>
  </si>
  <si>
    <t>70</t>
  </si>
  <si>
    <t xml:space="preserve">Step 5: Sputtering</t>
  </si>
  <si>
    <t xml:space="preserve">Sputtered material</t>
  </si>
  <si>
    <t>TiO2</t>
  </si>
  <si>
    <t xml:space="preserve">Hysprint tool</t>
  </si>
  <si>
    <t xml:space="preserve">Sputtering gas</t>
  </si>
  <si>
    <t>Argon</t>
  </si>
  <si>
    <t>Pressure</t>
  </si>
  <si>
    <t xml:space="preserve">Chamber pressure</t>
  </si>
  <si>
    <t>mbar</t>
  </si>
  <si>
    <t>0.01</t>
  </si>
  <si>
    <t xml:space="preserve">Deposition Time</t>
  </si>
  <si>
    <t>300</t>
  </si>
  <si>
    <t xml:space="preserve">Burn in time</t>
  </si>
  <si>
    <t xml:space="preserve">Burn-in time</t>
  </si>
  <si>
    <t>60</t>
  </si>
  <si>
    <t>Power</t>
  </si>
  <si>
    <t xml:space="preserve">Sputtering power</t>
  </si>
  <si>
    <t>W</t>
  </si>
  <si>
    <t xml:space="preserve">Rotation rate</t>
  </si>
  <si>
    <t xml:space="preserve">Substrate rotation rate</t>
  </si>
  <si>
    <t>50</t>
  </si>
  <si>
    <t xml:space="preserve">Gas flow rate</t>
  </si>
  <si>
    <t>cm³/min</t>
  </si>
  <si>
    <t>20</t>
  </si>
  <si>
    <t xml:space="preserve">Step 6: Atmospheric</t>
  </si>
  <si>
    <t xml:space="preserve">Room temperature</t>
  </si>
  <si>
    <t>number</t>
  </si>
  <si>
    <t>21</t>
  </si>
  <si>
    <t xml:space="preserve">Room relative humidity</t>
  </si>
  <si>
    <t>%</t>
  </si>
  <si>
    <t xml:space="preserve">Start GB Oxygen level</t>
  </si>
  <si>
    <t xml:space="preserve">Start ppm values on glovebox</t>
  </si>
  <si>
    <t>ppm</t>
  </si>
  <si>
    <t xml:space="preserve">End GB Oxygen level</t>
  </si>
  <si>
    <t xml:space="preserve">End ppm values on glovebox</t>
  </si>
  <si>
    <t xml:space="preserve">Start GB Water level</t>
  </si>
  <si>
    <t xml:space="preserve">End GB Water level</t>
  </si>
  <si>
    <t xml:space="preserve">Start GB Temperature</t>
  </si>
  <si>
    <t xml:space="preserve">Start temperature on glovebox</t>
  </si>
  <si>
    <t xml:space="preserve">End GB Temperature</t>
  </si>
  <si>
    <t xml:space="preserve">End temperature on glovebox</t>
  </si>
  <si>
    <t xml:space="preserve">3. Data Entry Best Practices</t>
  </si>
  <si>
    <t xml:space="preserve">• Decimal Points: Use a dot or comma as appropriate for your Excel/language settings.</t>
  </si>
  <si>
    <t xml:space="preserve">• Consistency: Use consistent names for materials, processes, and equipment.</t>
  </si>
  <si>
    <t xml:space="preserve">• Completeness: Record as many parameters as possible for each step.</t>
  </si>
  <si>
    <t xml:space="preserve">4. File Naming Conventions</t>
  </si>
  <si>
    <t xml:space="preserve">• Standard Format: Each measurement file should be saved as Nomad_id.comment.measurement_type.file_format</t>
  </si>
  <si>
    <t xml:space="preserve">  Example: DG_MMB_24_0_C-19.jv.txt</t>
  </si>
  <si>
    <t xml:space="preserve">• File Uploader Voila Dashboard</t>
  </si>
  <si>
    <t xml:space="preserve">The Voila notebook automatically formats measurement files, so manual renaming is not required. We recommend using this method from now on. For how-to-guide, click here</t>
  </si>
  <si>
    <t xml:space="preserve">5. How to Cite</t>
  </si>
  <si>
    <t xml:space="preserve">• NOMAD: How to cite NOMAD (link to https://nomad-lab.eu/nomad-lab/cite.html)</t>
  </si>
  <si>
    <t xml:space="preserve">• Code/Voila Notebooks: How to cite code from nomad-hzb-se OASIS (link to https://github.com/nomad-hzb/nomad-hysprint)</t>
  </si>
  <si>
    <t xml:space="preserve">If you use code or Voila notebooks for scientific analysis from the nomad-hzb repository, please cite as follows (unless the journal that you wish to publish requires a different format):</t>
  </si>
  <si>
    <t xml:space="preserve">Citation Fields:</t>
  </si>
  <si>
    <t xml:space="preserve">Title: NOMAD Hysprint: NOMAD's schema for HZB perovskite research</t>
  </si>
  <si>
    <t xml:space="preserve">Author(s): NOMAD-HZB contributors</t>
  </si>
  <si>
    <t xml:space="preserve">Date of Publication: [Year of use or latest commit]</t>
  </si>
  <si>
    <t xml:space="preserve">Publisher: GitHub</t>
  </si>
  <si>
    <t xml:space="preserve">DOI or URL: https://github.com/nomad-hzb/nomad-hysprint</t>
  </si>
  <si>
    <t xml:space="preserve">Version or Date Downloaded: [Version, release tag, or date you accessed/downloaded the code]</t>
  </si>
  <si>
    <t xml:space="preserve">• (Optional) Commit Hash: [Specific commit hash, for reproducibility]</t>
  </si>
  <si>
    <t xml:space="preserve">• License: Code: Apache-2.0; Voila Notebooks: CC BY 4.0</t>
  </si>
  <si>
    <t xml:space="preserve">Example Citation:</t>
  </si>
  <si>
    <t xml:space="preserve">NOMAD Hysprint: NOMAD's schema for HZB perovskite research. NOMAD-HZB contributors. 2025. GitHub. https://github.com/nomad-hzb/nomad-hysprint. Accessed: 2025-04-25. Version: main branch, commit [commit-hash]. Code licensed under Apache-2.0; Voila notebooks licensed under CC BY 4.0.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</si>
</sst>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sz val="12.000000"/>
      <color theme="10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77B4"/>
        <bgColor rgb="FF1F77B4"/>
      </patternFill>
    </fill>
    <fill>
      <patternFill patternType="solid">
        <fgColor rgb="FFFF7F0E"/>
        <bgColor rgb="FFFF7F0E"/>
      </patternFill>
    </fill>
    <fill>
      <patternFill patternType="solid">
        <fgColor rgb="FF8FBBD9"/>
        <bgColor rgb="FF8FBBD9"/>
      </patternFill>
    </fill>
    <fill>
      <patternFill patternType="solid">
        <fgColor rgb="FFFFBF86"/>
        <bgColor rgb="FFFFBF86"/>
      </patternFill>
    </fill>
  </fills>
  <borders count="1">
    <border>
      <left style="none"/>
      <right style="none"/>
      <top style="none"/>
      <bottom style="none"/>
      <diagonal style="none"/>
    </border>
  </borders>
  <cellStyleXfs count="2">
    <xf fontId="0" fillId="0" borderId="0" numFmtId="0" applyNumberFormat="1" applyFont="1" applyFill="1" applyBorder="1"/>
    <xf fontId="1" fillId="0" borderId="0" numFmtId="0" applyNumberFormat="1" applyFont="1" applyFill="1" applyBorder="1"/>
  </cellStyleXfs>
  <cellXfs count="7">
    <xf fontId="0" fillId="0" borderId="0" numFmtId="0" xfId="0" quotePrefix="0" pivotButton="0"/>
    <xf fontId="0" fillId="2" borderId="0" numFmtId="0" xfId="0" applyFill="1" applyAlignment="1" quotePrefix="0" pivotButton="0">
      <alignment horizontal="left" vertical="center"/>
    </xf>
    <xf fontId="0" fillId="3" borderId="0" numFmtId="0" xfId="0" applyFill="1" applyAlignment="1" quotePrefix="0" pivotButton="0">
      <alignment horizontal="left" vertical="center"/>
    </xf>
    <xf fontId="0" fillId="4" borderId="0" numFmtId="0" xfId="0" applyFill="1" quotePrefix="0" pivotButton="0"/>
    <xf fontId="0" fillId="5" borderId="0" numFmtId="0" xfId="0" applyFill="1" quotePrefix="0" pivotButton="0"/>
    <xf fontId="0" fillId="0" borderId="0" numFmtId="0" xfId="0" quotePrefix="0" pivotButton="0">
      <protection hidden="0" locked="1"/>
    </xf>
    <xf fontId="1" fillId="0" borderId="0" numFmtId="0" xfId="1" applyFont="1" quotePrefix="0" pivotButton="0"/>
  </cellXfs>
  <cellStyles count="2">
    <cellStyle name="Normal" xfId="0" builtinId="0"/>
    <cellStyle name="Hyperlink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theme" Target="theme/theme1.xml"/><Relationship  Id="rId5" Type="http://schemas.openxmlformats.org/officeDocument/2006/relationships/sharedStrings" Target="sharedStrings.xml"/><Relationship  Id="rId6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_rels/sheet2.xml.rels><?xml version="1.0" encoding="UTF-8" standalone="yes"?><Relationships xmlns="http://schemas.openxmlformats.org/package/2006/relationships"><Relationship  Id="rId1" Type="http://schemas.openxmlformats.org/officeDocument/2006/relationships/hyperlink" Target="https://nomad-hzb-se.de/nomad-oasis/gui/search/voila" TargetMode="External"/><Relationship  Id="rId2" Type="http://schemas.openxmlformats.org/officeDocument/2006/relationships/hyperlink" Target="https://scribehow.com/viewer/How_to_Work_on_the_HZB_Nomad_Oasis__bRbhHOaCR2S3dBIeQLYw8A" TargetMode="External"/></Relationships>
</file>

<file path=xl/worksheets/_rels/sheet3.xml.rels><?xml version="1.0" encoding="UTF-8" standalone="yes"?><Relationships xmlns="http://schemas.openxmlformats.org/package/2006/relationships"><Relationship  Id="rId1" Type="http://schemas.openxmlformats.org/officeDocument/2006/relationships/hyperlink" Target="https://nomad-lab.eu/nomad-lab/cite.html" TargetMode="External"/><Relationship  Id="rId2" Type="http://schemas.openxmlformats.org/officeDocument/2006/relationships/hyperlink" Target="https://github.com/nomad-hzb/nomad-hysprin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cols>
    <col customWidth="1" min="1" max="1" width="17"/>
    <col customWidth="1" min="2" max="2" width="14"/>
    <col customWidth="1" min="3" max="3" width="7"/>
    <col customWidth="1" min="4" max="4" width="10"/>
    <col customWidth="1" min="5" max="5" width="8"/>
    <col customWidth="1" min="6" max="6" width="48"/>
    <col customWidth="1" min="7" max="7" width="11"/>
    <col customWidth="1" min="8" max="8" width="18"/>
    <col customWidth="1" min="9" max="9" width="20"/>
    <col customWidth="1" min="10" max="10" width="18"/>
    <col customWidth="1" min="11" max="11" width="19"/>
    <col customWidth="1" min="12" max="12" width="20"/>
    <col customWidth="1" min="13" max="13" width="28"/>
    <col customWidth="1" min="14" max="14" width="32"/>
    <col customWidth="1" min="15" max="15" width="18"/>
    <col customWidth="1" min="16" max="16" width="21"/>
    <col customWidth="1" min="17" max="17" width="12"/>
    <col customWidth="1" min="18" max="18" width="21"/>
    <col customWidth="1" min="19" max="19" width="15"/>
    <col customWidth="1" min="20" max="20" width="42"/>
    <col customWidth="1" min="21" max="21" width="12"/>
    <col customWidth="1" min="22" max="22" width="17"/>
    <col customWidth="1" min="23" max="23" width="22"/>
    <col customWidth="1" min="24" max="24" width="16"/>
    <col customWidth="1" min="25" max="25" width="23"/>
    <col customWidth="1" min="26" max="26" width="27"/>
    <col customWidth="1" min="27" max="27" width="23"/>
    <col customWidth="1" min="28" max="28" width="15"/>
    <col customWidth="1" min="29" max="29" width="29"/>
    <col customWidth="1" min="30" max="30" width="22"/>
    <col customWidth="1" min="31" max="32" width="19"/>
    <col customWidth="1" min="33" max="33" width="18"/>
    <col customWidth="1" min="34" max="34" width="24"/>
    <col customWidth="1" min="35" max="35" width="22"/>
    <col customWidth="1" min="36" max="36" width="17"/>
    <col customWidth="1" min="37" max="37" width="24"/>
    <col customWidth="1" min="38" max="38" width="21"/>
    <col customWidth="1" min="39" max="39" width="22"/>
    <col customWidth="1" min="40" max="40" width="19"/>
    <col customWidth="1" min="41" max="41" width="21"/>
    <col customWidth="1" min="42" max="42" width="16"/>
    <col customWidth="1" min="43" max="43" width="19"/>
    <col customWidth="1" min="44" max="44" width="25"/>
    <col customWidth="1" min="45" max="45" width="19"/>
    <col customWidth="1" min="46" max="46" width="16"/>
    <col customWidth="1" min="47" max="47" width="20"/>
    <col customWidth="1" min="48" max="48" width="23"/>
    <col customWidth="1" min="49" max="49" width="20"/>
    <col customWidth="1" min="50" max="50" width="25"/>
    <col customWidth="1" min="51" max="51" width="24"/>
    <col customWidth="1" min="52" max="52" width="17"/>
    <col customWidth="1" min="53" max="53" width="10"/>
    <col customWidth="1" min="54" max="54" width="30"/>
    <col customWidth="1" min="55" max="55" width="28"/>
    <col customWidth="1" min="56" max="56" width="32"/>
    <col customWidth="1" min="57" max="58" width="30"/>
    <col customWidth="1" min="59" max="59" width="27"/>
    <col customWidth="1" min="60" max="60" width="14"/>
    <col customWidth="1" min="61" max="61" width="19"/>
    <col customWidth="1" min="62" max="62" width="21"/>
    <col customWidth="1" min="63" max="64" width="20"/>
    <col customWidth="1" min="65" max="65" width="23"/>
    <col customWidth="1" min="66" max="66" width="22"/>
    <col customWidth="1" min="67" max="67" width="28"/>
    <col customWidth="1" min="68" max="68" width="22"/>
    <col customWidth="1" min="69" max="69" width="15"/>
    <col customWidth="1" min="70" max="70" width="23"/>
    <col customWidth="1" min="71" max="71" width="19"/>
    <col customWidth="1" min="72" max="72" width="29"/>
    <col customWidth="1" min="73" max="73" width="27"/>
    <col customWidth="1" min="74" max="74" width="28"/>
    <col customWidth="1" min="75" max="75" width="26"/>
    <col customWidth="1" min="76" max="76" width="27"/>
    <col customWidth="1" min="77" max="77" width="25"/>
  </cols>
  <sheetData>
    <row r="1">
      <c r="A1" s="1" t="s">
        <v>0</v>
      </c>
      <c r="R1" s="2" t="s">
        <v>1</v>
      </c>
    </row>
    <row r="2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10</v>
      </c>
      <c r="J2" s="3" t="s">
        <v>11</v>
      </c>
      <c r="K2" s="3" t="s">
        <v>12</v>
      </c>
      <c r="L2" s="3" t="s">
        <v>13</v>
      </c>
      <c r="M2" s="3" t="s">
        <v>14</v>
      </c>
      <c r="N2" s="3" t="s">
        <v>15</v>
      </c>
      <c r="O2" s="3" t="s">
        <v>16</v>
      </c>
      <c r="P2" s="3" t="s">
        <v>17</v>
      </c>
      <c r="Q2" s="3" t="s">
        <v>18</v>
      </c>
      <c r="R2" s="4" t="s">
        <v>19</v>
      </c>
      <c r="S2" s="4" t="s">
        <v>20</v>
      </c>
      <c r="T2" s="4" t="s">
        <v>21</v>
      </c>
      <c r="U2" s="4" t="s">
        <v>22</v>
      </c>
      <c r="V2" s="4" t="s">
        <v>23</v>
      </c>
      <c r="W2" s="4" t="s">
        <v>24</v>
      </c>
      <c r="X2" s="4" t="s">
        <v>25</v>
      </c>
      <c r="Y2" s="4" t="s">
        <v>26</v>
      </c>
      <c r="Z2" s="4" t="s">
        <v>27</v>
      </c>
      <c r="AA2" s="4" t="s">
        <v>28</v>
      </c>
      <c r="AB2" s="4" t="s">
        <v>29</v>
      </c>
      <c r="AC2" s="4" t="s">
        <v>30</v>
      </c>
      <c r="AD2" s="4" t="s">
        <v>31</v>
      </c>
      <c r="AE2" s="4" t="s">
        <v>32</v>
      </c>
      <c r="AF2" s="4" t="s">
        <v>33</v>
      </c>
      <c r="AG2" s="4" t="s">
        <v>34</v>
      </c>
      <c r="AH2" s="4" t="s">
        <v>35</v>
      </c>
      <c r="AI2" s="4" t="s">
        <v>36</v>
      </c>
      <c r="AJ2" s="4" t="s">
        <v>37</v>
      </c>
      <c r="AK2" s="4" t="s">
        <v>38</v>
      </c>
      <c r="AL2" s="4" t="s">
        <v>39</v>
      </c>
      <c r="AM2" s="4" t="s">
        <v>40</v>
      </c>
      <c r="AN2" s="4" t="s">
        <v>41</v>
      </c>
      <c r="AO2" s="4" t="s">
        <v>42</v>
      </c>
      <c r="AP2" s="4" t="s">
        <v>43</v>
      </c>
      <c r="AQ2" s="4" t="s">
        <v>44</v>
      </c>
      <c r="AR2" s="4" t="s">
        <v>45</v>
      </c>
      <c r="AS2" s="4" t="s">
        <v>46</v>
      </c>
      <c r="AT2" s="4" t="s">
        <v>47</v>
      </c>
      <c r="AU2" s="4" t="s">
        <v>48</v>
      </c>
      <c r="AV2" s="4" t="s">
        <v>49</v>
      </c>
      <c r="AW2" s="4" t="s">
        <v>50</v>
      </c>
      <c r="AX2" s="4" t="s">
        <v>51</v>
      </c>
      <c r="AY2" s="4" t="s">
        <v>52</v>
      </c>
      <c r="AZ2" s="4" t="s">
        <v>53</v>
      </c>
      <c r="BA2" s="4" t="s">
        <v>54</v>
      </c>
      <c r="BB2" s="4" t="s">
        <v>55</v>
      </c>
      <c r="BC2" s="4" t="s">
        <v>56</v>
      </c>
      <c r="BD2" s="4" t="s">
        <v>57</v>
      </c>
      <c r="BE2" s="4" t="s">
        <v>58</v>
      </c>
      <c r="BF2" s="4" t="s">
        <v>59</v>
      </c>
      <c r="BG2" s="4" t="s">
        <v>60</v>
      </c>
      <c r="BH2" s="4" t="s">
        <v>61</v>
      </c>
      <c r="BI2" s="4" t="s">
        <v>62</v>
      </c>
      <c r="BJ2" s="4" t="s">
        <v>63</v>
      </c>
      <c r="BK2" s="4" t="s">
        <v>64</v>
      </c>
      <c r="BL2" s="4" t="s">
        <v>65</v>
      </c>
      <c r="BM2" s="4" t="s">
        <v>66</v>
      </c>
      <c r="BN2" s="4" t="s">
        <v>67</v>
      </c>
      <c r="BO2" s="4" t="s">
        <v>68</v>
      </c>
      <c r="BP2" s="4" t="s">
        <v>69</v>
      </c>
      <c r="BQ2" s="4" t="s">
        <v>18</v>
      </c>
      <c r="BR2" s="4" t="s">
        <v>70</v>
      </c>
      <c r="BS2" s="4" t="s">
        <v>71</v>
      </c>
      <c r="BT2" s="4" t="s">
        <v>72</v>
      </c>
      <c r="BU2" s="4" t="s">
        <v>73</v>
      </c>
      <c r="BV2" s="4" t="s">
        <v>74</v>
      </c>
      <c r="BW2" s="4" t="s">
        <v>75</v>
      </c>
      <c r="BX2" s="4" t="s">
        <v>76</v>
      </c>
      <c r="BY2" s="4" t="s">
        <v>77</v>
      </c>
    </row>
    <row r="3">
      <c r="A3" t="s">
        <v>78</v>
      </c>
      <c r="B3" t="s">
        <v>79</v>
      </c>
      <c r="C3" t="s">
        <v>80</v>
      </c>
      <c r="D3" t="s">
        <v>80</v>
      </c>
      <c r="E3" t="s">
        <v>80</v>
      </c>
      <c r="F3" t="str">
        <f>CONCATENATE("HZB_",B3,"_",C3,"_",D3,"_C-",E3)</f>
        <v>HZB_FiNa_1_1_C-1</v>
      </c>
      <c r="G3" t="s">
        <v>81</v>
      </c>
      <c r="H3" t="s">
        <v>82</v>
      </c>
      <c r="I3">
        <v>0.16</v>
      </c>
      <c r="J3">
        <v>6</v>
      </c>
      <c r="K3">
        <v>0.16</v>
      </c>
      <c r="L3" t="s">
        <v>83</v>
      </c>
      <c r="M3" t="s">
        <v>84</v>
      </c>
      <c r="N3">
        <v>15</v>
      </c>
      <c r="O3">
        <v>90</v>
      </c>
      <c r="P3">
        <v>1</v>
      </c>
      <c r="Q3" t="s">
        <v>85</v>
      </c>
      <c r="R3" t="s">
        <v>86</v>
      </c>
      <c r="S3" t="s">
        <v>87</v>
      </c>
      <c r="T3" t="s">
        <v>88</v>
      </c>
      <c r="U3" t="s">
        <v>89</v>
      </c>
      <c r="V3" t="s">
        <v>90</v>
      </c>
      <c r="W3">
        <v>100</v>
      </c>
      <c r="X3" t="s">
        <v>91</v>
      </c>
      <c r="Y3">
        <v>10</v>
      </c>
      <c r="Z3">
        <v>1.5</v>
      </c>
      <c r="AA3" t="s">
        <v>92</v>
      </c>
      <c r="AB3" t="s">
        <v>93</v>
      </c>
      <c r="AC3">
        <v>1.4199999999999999</v>
      </c>
      <c r="AD3" t="s">
        <v>94</v>
      </c>
      <c r="AE3">
        <v>120</v>
      </c>
      <c r="AF3">
        <v>45</v>
      </c>
      <c r="AG3">
        <v>1</v>
      </c>
      <c r="AH3">
        <v>72</v>
      </c>
      <c r="AI3">
        <v>100</v>
      </c>
      <c r="AJ3" t="s">
        <v>95</v>
      </c>
      <c r="AK3">
        <v>43</v>
      </c>
      <c r="AL3">
        <v>40</v>
      </c>
      <c r="AM3">
        <v>30</v>
      </c>
      <c r="AN3">
        <v>60</v>
      </c>
      <c r="AO3">
        <v>18</v>
      </c>
      <c r="AP3">
        <v>22.5</v>
      </c>
      <c r="AQ3" t="s">
        <v>96</v>
      </c>
      <c r="AR3">
        <v>10</v>
      </c>
      <c r="AS3" t="s">
        <v>97</v>
      </c>
      <c r="AT3" t="s">
        <v>98</v>
      </c>
      <c r="AU3">
        <v>45</v>
      </c>
      <c r="AV3">
        <v>50</v>
      </c>
      <c r="AW3" t="s">
        <v>99</v>
      </c>
      <c r="AX3">
        <v>2</v>
      </c>
      <c r="AY3">
        <v>1.5</v>
      </c>
      <c r="AZ3" t="s">
        <v>100</v>
      </c>
      <c r="BA3" t="s">
        <v>101</v>
      </c>
      <c r="BB3">
        <v>5</v>
      </c>
      <c r="BC3">
        <v>15</v>
      </c>
      <c r="BD3">
        <v>20</v>
      </c>
      <c r="BE3">
        <v>1.2</v>
      </c>
      <c r="BF3">
        <v>2.5</v>
      </c>
      <c r="BG3">
        <v>10</v>
      </c>
      <c r="BH3" t="s">
        <v>102</v>
      </c>
      <c r="BI3">
        <v>3</v>
      </c>
      <c r="BJ3">
        <v>45</v>
      </c>
      <c r="BK3">
        <v>0.5</v>
      </c>
      <c r="BL3">
        <v>2</v>
      </c>
      <c r="BM3">
        <v>30</v>
      </c>
      <c r="BN3">
        <v>30</v>
      </c>
      <c r="BO3">
        <v>120</v>
      </c>
      <c r="BP3" t="s">
        <v>101</v>
      </c>
      <c r="BQ3" t="s">
        <v>103</v>
      </c>
      <c r="BR3">
        <v>21</v>
      </c>
      <c r="BS3" t="s">
        <v>104</v>
      </c>
      <c r="BT3">
        <v>0.10000000000000001</v>
      </c>
      <c r="BU3">
        <v>0.10000000000000001</v>
      </c>
      <c r="BV3">
        <v>0.10000000000000001</v>
      </c>
      <c r="BW3">
        <v>0.10000000000000001</v>
      </c>
      <c r="BX3">
        <v>0.10000000000000001</v>
      </c>
      <c r="BY3">
        <v>0.10000000000000001</v>
      </c>
    </row>
    <row r="4" ht="14.25">
      <c r="A4" s="5" t="s">
        <v>78</v>
      </c>
      <c r="B4" s="5" t="s">
        <v>79</v>
      </c>
      <c r="C4" s="5" t="s">
        <v>80</v>
      </c>
      <c r="D4" s="5" t="s">
        <v>80</v>
      </c>
      <c r="E4" s="5">
        <v>2</v>
      </c>
      <c r="F4" s="5" t="str">
        <f>CONCATENATE("HZB_",B4,"_",C4,"_",D4,"_C-",E4)</f>
        <v>HZB_FiNa_1_1_C-2</v>
      </c>
      <c r="G4" s="5" t="s">
        <v>81</v>
      </c>
      <c r="H4" s="5" t="s">
        <v>82</v>
      </c>
      <c r="I4" s="5">
        <v>0.16</v>
      </c>
      <c r="J4" s="5">
        <v>6</v>
      </c>
      <c r="K4" s="5">
        <v>0.16</v>
      </c>
      <c r="L4" s="5" t="s">
        <v>83</v>
      </c>
      <c r="M4" s="5" t="s">
        <v>84</v>
      </c>
      <c r="N4" s="5">
        <v>15</v>
      </c>
      <c r="O4" s="5">
        <v>90</v>
      </c>
      <c r="P4" s="5">
        <v>1</v>
      </c>
      <c r="Q4" s="5" t="s">
        <v>85</v>
      </c>
      <c r="R4" s="5" t="s">
        <v>86</v>
      </c>
      <c r="S4" s="5" t="s">
        <v>87</v>
      </c>
      <c r="T4" s="5" t="s">
        <v>88</v>
      </c>
      <c r="U4" s="5" t="s">
        <v>89</v>
      </c>
      <c r="V4" s="5" t="s">
        <v>90</v>
      </c>
      <c r="W4" s="5">
        <v>100</v>
      </c>
      <c r="X4" s="5" t="s">
        <v>91</v>
      </c>
      <c r="Y4" s="5">
        <v>10</v>
      </c>
      <c r="Z4" s="5">
        <v>1.5</v>
      </c>
      <c r="AA4" s="5" t="s">
        <v>92</v>
      </c>
      <c r="AB4" s="5" t="s">
        <v>93</v>
      </c>
      <c r="AC4" s="5">
        <v>1.4199999999999999</v>
      </c>
      <c r="AD4" s="5" t="s">
        <v>94</v>
      </c>
      <c r="AE4" s="5">
        <v>120</v>
      </c>
      <c r="AF4" s="5">
        <v>45</v>
      </c>
      <c r="AG4" s="5">
        <v>1</v>
      </c>
      <c r="AH4" s="5">
        <v>72</v>
      </c>
      <c r="AI4" s="5">
        <v>100</v>
      </c>
      <c r="AJ4" s="5" t="s">
        <v>95</v>
      </c>
      <c r="AK4" s="5">
        <v>43</v>
      </c>
      <c r="AL4" s="5">
        <v>40</v>
      </c>
      <c r="AM4" s="5">
        <v>30</v>
      </c>
      <c r="AN4" s="5">
        <v>60</v>
      </c>
      <c r="AO4" s="5">
        <v>18</v>
      </c>
      <c r="AP4" s="5">
        <v>22.5</v>
      </c>
      <c r="AQ4" s="5" t="s">
        <v>96</v>
      </c>
      <c r="AR4" s="5">
        <v>10</v>
      </c>
      <c r="AS4" s="5" t="s">
        <v>97</v>
      </c>
      <c r="AT4" s="5" t="s">
        <v>98</v>
      </c>
      <c r="AU4" s="5">
        <v>45</v>
      </c>
      <c r="AV4" s="5">
        <v>50</v>
      </c>
      <c r="AW4" s="5" t="s">
        <v>99</v>
      </c>
      <c r="AX4" s="5">
        <v>2</v>
      </c>
      <c r="AY4" s="5">
        <v>1.5</v>
      </c>
      <c r="AZ4" s="5" t="s">
        <v>100</v>
      </c>
      <c r="BA4" s="5" t="s">
        <v>101</v>
      </c>
      <c r="BB4" s="5">
        <v>5</v>
      </c>
      <c r="BC4" s="5">
        <v>15</v>
      </c>
      <c r="BD4" s="5">
        <v>20</v>
      </c>
      <c r="BE4" s="5">
        <v>1.2</v>
      </c>
      <c r="BF4" s="5">
        <v>2.5</v>
      </c>
      <c r="BG4" s="5">
        <v>10</v>
      </c>
      <c r="BH4" s="5" t="s">
        <v>102</v>
      </c>
      <c r="BI4" s="5">
        <v>3</v>
      </c>
      <c r="BJ4" s="5">
        <v>45</v>
      </c>
      <c r="BK4" s="5">
        <v>0.5</v>
      </c>
      <c r="BL4" s="5">
        <v>2</v>
      </c>
      <c r="BM4" s="5">
        <v>30</v>
      </c>
      <c r="BN4" s="5">
        <v>30</v>
      </c>
      <c r="BO4" s="5">
        <v>120</v>
      </c>
      <c r="BP4" s="5" t="s">
        <v>101</v>
      </c>
      <c r="BQ4" s="5" t="s">
        <v>103</v>
      </c>
      <c r="BR4" s="5">
        <v>21</v>
      </c>
      <c r="BS4" s="5" t="s">
        <v>104</v>
      </c>
      <c r="BT4" s="5">
        <v>0.10000000000000001</v>
      </c>
      <c r="BU4" s="5">
        <v>0.10000000000000001</v>
      </c>
      <c r="BV4" s="5">
        <v>0.10000000000000001</v>
      </c>
      <c r="BW4" s="5">
        <v>0.10000000000000001</v>
      </c>
      <c r="BX4" s="5">
        <v>0.10000000000000001</v>
      </c>
      <c r="BY4" s="5">
        <v>0.10000000000000001</v>
      </c>
    </row>
  </sheetData>
  <mergeCells count="2">
    <mergeCell ref="A1:Q1"/>
    <mergeCell ref="R1:BY1"/>
  </mergeCell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cols>
    <col customWidth="1" min="1" max="5" width="28"/>
  </cols>
  <sheetData>
    <row r="1">
      <c r="A1" t="s">
        <v>105</v>
      </c>
    </row>
    <row r="2">
      <c r="A2" t="s">
        <v>106</v>
      </c>
    </row>
    <row r="4">
      <c r="A4" t="s">
        <v>107</v>
      </c>
    </row>
    <row r="5">
      <c r="A5" t="s">
        <v>108</v>
      </c>
    </row>
    <row r="6">
      <c r="A6" t="s">
        <v>109</v>
      </c>
    </row>
    <row r="7">
      <c r="A7" t="s">
        <v>110</v>
      </c>
    </row>
    <row r="8">
      <c r="A8" t="s">
        <v>111</v>
      </c>
    </row>
    <row r="9">
      <c r="A9" t="s">
        <v>112</v>
      </c>
    </row>
    <row r="11">
      <c r="A11" t="s">
        <v>113</v>
      </c>
    </row>
    <row r="12">
      <c r="A12" t="s">
        <v>114</v>
      </c>
    </row>
    <row r="13">
      <c r="A13" t="s">
        <v>115</v>
      </c>
    </row>
    <row r="14">
      <c r="A14" t="s">
        <v>116</v>
      </c>
    </row>
    <row r="15">
      <c r="A15" t="s">
        <v>117</v>
      </c>
    </row>
    <row r="17">
      <c r="A17" t="s">
        <v>118</v>
      </c>
    </row>
    <row r="18">
      <c r="A18" t="s">
        <v>119</v>
      </c>
    </row>
    <row r="20">
      <c r="A20" t="s">
        <v>0</v>
      </c>
    </row>
    <row r="21">
      <c r="A21" t="s">
        <v>120</v>
      </c>
      <c r="B21" t="s">
        <v>121</v>
      </c>
      <c r="C21" t="s">
        <v>122</v>
      </c>
      <c r="D21" t="s">
        <v>123</v>
      </c>
      <c r="E21" t="s">
        <v>124</v>
      </c>
    </row>
    <row r="22">
      <c r="A22" t="s">
        <v>125</v>
      </c>
      <c r="B22" t="s">
        <v>126</v>
      </c>
      <c r="C22" t="s">
        <v>127</v>
      </c>
      <c r="D22" t="s">
        <v>127</v>
      </c>
      <c r="E22" t="s">
        <v>86</v>
      </c>
    </row>
    <row r="23">
      <c r="A23" t="s">
        <v>20</v>
      </c>
      <c r="B23" t="s">
        <v>128</v>
      </c>
      <c r="C23" t="s">
        <v>129</v>
      </c>
      <c r="E23" t="s">
        <v>130</v>
      </c>
    </row>
    <row r="24">
      <c r="A24" t="s">
        <v>2</v>
      </c>
      <c r="B24" t="s">
        <v>131</v>
      </c>
      <c r="C24" t="s">
        <v>132</v>
      </c>
      <c r="E24" t="s">
        <v>78</v>
      </c>
    </row>
    <row r="25">
      <c r="A25" t="s">
        <v>3</v>
      </c>
      <c r="B25" t="s">
        <v>133</v>
      </c>
      <c r="C25" t="s">
        <v>129</v>
      </c>
      <c r="E25" t="s">
        <v>79</v>
      </c>
    </row>
    <row r="26">
      <c r="A26" t="s">
        <v>4</v>
      </c>
      <c r="B26" t="s">
        <v>134</v>
      </c>
      <c r="C26" t="s">
        <v>135</v>
      </c>
      <c r="E26" t="s">
        <v>80</v>
      </c>
    </row>
    <row r="27">
      <c r="A27" t="s">
        <v>5</v>
      </c>
      <c r="B27" t="s">
        <v>136</v>
      </c>
      <c r="C27" t="s">
        <v>135</v>
      </c>
      <c r="E27" t="s">
        <v>137</v>
      </c>
    </row>
    <row r="28">
      <c r="A28" t="s">
        <v>6</v>
      </c>
      <c r="B28" t="s">
        <v>138</v>
      </c>
      <c r="C28" t="s">
        <v>135</v>
      </c>
      <c r="E28" t="s">
        <v>80</v>
      </c>
    </row>
    <row r="29">
      <c r="A29" t="s">
        <v>7</v>
      </c>
      <c r="B29" t="s">
        <v>139</v>
      </c>
      <c r="C29" t="s">
        <v>140</v>
      </c>
    </row>
    <row r="30">
      <c r="A30" t="s">
        <v>8</v>
      </c>
      <c r="B30" t="s">
        <v>141</v>
      </c>
      <c r="C30" t="s">
        <v>140</v>
      </c>
      <c r="E30" t="s">
        <v>81</v>
      </c>
    </row>
    <row r="31">
      <c r="A31" t="s">
        <v>142</v>
      </c>
      <c r="B31" t="s">
        <v>143</v>
      </c>
      <c r="C31" t="s">
        <v>135</v>
      </c>
      <c r="D31" t="s">
        <v>144</v>
      </c>
      <c r="E31" t="s">
        <v>82</v>
      </c>
    </row>
    <row r="32">
      <c r="A32" t="s">
        <v>145</v>
      </c>
      <c r="B32" t="s">
        <v>146</v>
      </c>
      <c r="C32" t="s">
        <v>135</v>
      </c>
      <c r="D32" t="s">
        <v>147</v>
      </c>
      <c r="E32" t="s">
        <v>148</v>
      </c>
    </row>
    <row r="33">
      <c r="A33" t="s">
        <v>11</v>
      </c>
      <c r="B33" t="s">
        <v>11</v>
      </c>
      <c r="C33" t="s">
        <v>135</v>
      </c>
      <c r="E33" t="s">
        <v>149</v>
      </c>
    </row>
    <row r="34">
      <c r="A34" t="s">
        <v>150</v>
      </c>
      <c r="B34" t="s">
        <v>151</v>
      </c>
      <c r="C34" t="s">
        <v>135</v>
      </c>
      <c r="D34" t="s">
        <v>147</v>
      </c>
      <c r="E34" t="s">
        <v>148</v>
      </c>
    </row>
    <row r="35">
      <c r="A35" t="s">
        <v>152</v>
      </c>
      <c r="B35" t="s">
        <v>13</v>
      </c>
      <c r="C35" t="s">
        <v>140</v>
      </c>
      <c r="E35" t="s">
        <v>83</v>
      </c>
    </row>
    <row r="36">
      <c r="A36" t="s">
        <v>153</v>
      </c>
      <c r="B36" t="s">
        <v>154</v>
      </c>
      <c r="C36" t="s">
        <v>140</v>
      </c>
      <c r="E36" t="s">
        <v>84</v>
      </c>
    </row>
    <row r="37">
      <c r="A37" t="s">
        <v>155</v>
      </c>
      <c r="B37" t="s">
        <v>17</v>
      </c>
      <c r="C37" t="s">
        <v>135</v>
      </c>
      <c r="E37" t="s">
        <v>80</v>
      </c>
    </row>
    <row r="38">
      <c r="A38" t="s">
        <v>18</v>
      </c>
      <c r="B38" t="s">
        <v>156</v>
      </c>
      <c r="C38" t="s">
        <v>140</v>
      </c>
    </row>
    <row r="40">
      <c r="A40" t="s">
        <v>157</v>
      </c>
    </row>
    <row r="41">
      <c r="A41" t="s">
        <v>120</v>
      </c>
      <c r="B41" t="s">
        <v>121</v>
      </c>
      <c r="C41" t="s">
        <v>122</v>
      </c>
      <c r="D41" t="s">
        <v>123</v>
      </c>
      <c r="E41" t="s">
        <v>124</v>
      </c>
    </row>
    <row r="42">
      <c r="A42" t="s">
        <v>125</v>
      </c>
      <c r="B42" t="s">
        <v>126</v>
      </c>
      <c r="C42" t="s">
        <v>127</v>
      </c>
      <c r="D42" t="s">
        <v>127</v>
      </c>
      <c r="E42" t="s">
        <v>86</v>
      </c>
    </row>
    <row r="43">
      <c r="A43" t="s">
        <v>20</v>
      </c>
      <c r="B43" t="s">
        <v>128</v>
      </c>
      <c r="C43" t="s">
        <v>129</v>
      </c>
      <c r="E43" t="s">
        <v>130</v>
      </c>
    </row>
    <row r="44">
      <c r="A44" t="s">
        <v>158</v>
      </c>
      <c r="B44" t="s">
        <v>159</v>
      </c>
      <c r="C44" t="s">
        <v>129</v>
      </c>
      <c r="E44" t="s">
        <v>160</v>
      </c>
    </row>
    <row r="45">
      <c r="A45" t="s">
        <v>161</v>
      </c>
      <c r="B45" t="s">
        <v>162</v>
      </c>
      <c r="C45" t="s">
        <v>135</v>
      </c>
      <c r="D45" t="s">
        <v>163</v>
      </c>
      <c r="E45" t="s">
        <v>164</v>
      </c>
    </row>
    <row r="46">
      <c r="A46" t="s">
        <v>165</v>
      </c>
      <c r="B46" t="s">
        <v>166</v>
      </c>
      <c r="C46" t="s">
        <v>135</v>
      </c>
      <c r="D46" t="s">
        <v>167</v>
      </c>
      <c r="E46" t="s">
        <v>168</v>
      </c>
    </row>
    <row r="47">
      <c r="A47" t="s">
        <v>169</v>
      </c>
      <c r="B47" t="s">
        <v>170</v>
      </c>
      <c r="C47" t="s">
        <v>135</v>
      </c>
      <c r="D47" t="s">
        <v>163</v>
      </c>
      <c r="E47" t="s">
        <v>171</v>
      </c>
    </row>
    <row r="49">
      <c r="A49" t="s">
        <v>172</v>
      </c>
    </row>
    <row r="50">
      <c r="A50" t="s">
        <v>120</v>
      </c>
      <c r="B50" t="s">
        <v>121</v>
      </c>
      <c r="C50" t="s">
        <v>122</v>
      </c>
      <c r="D50" t="s">
        <v>123</v>
      </c>
      <c r="E50" t="s">
        <v>124</v>
      </c>
    </row>
    <row r="51">
      <c r="A51" t="s">
        <v>125</v>
      </c>
      <c r="B51" t="s">
        <v>126</v>
      </c>
      <c r="C51" t="s">
        <v>127</v>
      </c>
      <c r="D51" t="s">
        <v>127</v>
      </c>
      <c r="E51" t="s">
        <v>86</v>
      </c>
    </row>
    <row r="52">
      <c r="A52" t="s">
        <v>20</v>
      </c>
      <c r="B52" t="s">
        <v>128</v>
      </c>
      <c r="C52" t="s">
        <v>129</v>
      </c>
      <c r="E52" t="s">
        <v>130</v>
      </c>
    </row>
    <row r="53">
      <c r="A53" t="s">
        <v>173</v>
      </c>
      <c r="B53" t="s">
        <v>174</v>
      </c>
      <c r="C53" t="s">
        <v>140</v>
      </c>
      <c r="E53" t="s">
        <v>88</v>
      </c>
    </row>
    <row r="54">
      <c r="A54" t="s">
        <v>175</v>
      </c>
      <c r="B54" t="s">
        <v>176</v>
      </c>
      <c r="C54" t="s">
        <v>129</v>
      </c>
      <c r="E54" t="s">
        <v>89</v>
      </c>
    </row>
    <row r="55">
      <c r="A55" t="s">
        <v>23</v>
      </c>
      <c r="B55" t="s">
        <v>177</v>
      </c>
      <c r="C55" t="s">
        <v>129</v>
      </c>
      <c r="E55" t="s">
        <v>90</v>
      </c>
    </row>
    <row r="56">
      <c r="A56" t="s">
        <v>25</v>
      </c>
      <c r="B56" t="s">
        <v>178</v>
      </c>
      <c r="C56" t="s">
        <v>129</v>
      </c>
      <c r="E56" t="s">
        <v>91</v>
      </c>
    </row>
    <row r="57">
      <c r="A57" t="s">
        <v>179</v>
      </c>
      <c r="B57" t="s">
        <v>180</v>
      </c>
      <c r="C57" t="s">
        <v>135</v>
      </c>
      <c r="D57" t="s">
        <v>181</v>
      </c>
      <c r="E57" t="s">
        <v>182</v>
      </c>
    </row>
    <row r="58">
      <c r="A58" t="s">
        <v>183</v>
      </c>
      <c r="B58" t="s">
        <v>184</v>
      </c>
      <c r="C58" t="s">
        <v>135</v>
      </c>
      <c r="E58" t="s">
        <v>185</v>
      </c>
    </row>
    <row r="59">
      <c r="A59" t="s">
        <v>29</v>
      </c>
      <c r="B59" t="s">
        <v>186</v>
      </c>
      <c r="C59" t="s">
        <v>129</v>
      </c>
      <c r="E59" t="s">
        <v>93</v>
      </c>
    </row>
    <row r="60">
      <c r="A60" t="s">
        <v>187</v>
      </c>
      <c r="B60" t="s">
        <v>188</v>
      </c>
      <c r="C60" t="s">
        <v>135</v>
      </c>
      <c r="D60" t="s">
        <v>189</v>
      </c>
      <c r="E60" t="s">
        <v>190</v>
      </c>
    </row>
    <row r="61">
      <c r="A61" t="s">
        <v>191</v>
      </c>
      <c r="B61" t="s">
        <v>192</v>
      </c>
      <c r="C61" t="s">
        <v>135</v>
      </c>
      <c r="D61" t="s">
        <v>181</v>
      </c>
      <c r="E61" t="s">
        <v>193</v>
      </c>
    </row>
    <row r="62">
      <c r="A62" t="s">
        <v>194</v>
      </c>
      <c r="B62" t="s">
        <v>195</v>
      </c>
      <c r="C62" t="s">
        <v>135</v>
      </c>
      <c r="D62" t="s">
        <v>163</v>
      </c>
      <c r="E62" t="s">
        <v>196</v>
      </c>
    </row>
    <row r="63">
      <c r="A63" t="s">
        <v>197</v>
      </c>
      <c r="B63" t="s">
        <v>198</v>
      </c>
      <c r="C63" t="s">
        <v>135</v>
      </c>
      <c r="D63" t="s">
        <v>199</v>
      </c>
      <c r="E63" t="s">
        <v>200</v>
      </c>
    </row>
    <row r="64">
      <c r="A64" t="s">
        <v>201</v>
      </c>
      <c r="B64" t="s">
        <v>202</v>
      </c>
      <c r="C64" t="s">
        <v>135</v>
      </c>
      <c r="D64" t="s">
        <v>163</v>
      </c>
      <c r="E64" t="s">
        <v>164</v>
      </c>
    </row>
    <row r="65">
      <c r="A65" t="s">
        <v>203</v>
      </c>
      <c r="B65" t="s">
        <v>204</v>
      </c>
      <c r="C65" t="s">
        <v>135</v>
      </c>
      <c r="D65" t="s">
        <v>205</v>
      </c>
      <c r="E65" t="s">
        <v>206</v>
      </c>
    </row>
    <row r="66">
      <c r="A66" t="s">
        <v>207</v>
      </c>
      <c r="B66" t="s">
        <v>208</v>
      </c>
      <c r="C66" t="s">
        <v>135</v>
      </c>
      <c r="D66" t="s">
        <v>199</v>
      </c>
      <c r="E66" t="s">
        <v>209</v>
      </c>
    </row>
    <row r="67">
      <c r="A67" t="s">
        <v>210</v>
      </c>
      <c r="B67" t="s">
        <v>211</v>
      </c>
      <c r="C67" t="s">
        <v>135</v>
      </c>
      <c r="D67" t="s">
        <v>163</v>
      </c>
      <c r="E67" t="s">
        <v>212</v>
      </c>
    </row>
    <row r="68">
      <c r="A68" t="s">
        <v>213</v>
      </c>
      <c r="B68" t="s">
        <v>214</v>
      </c>
      <c r="C68" t="s">
        <v>135</v>
      </c>
      <c r="D68" t="s">
        <v>205</v>
      </c>
      <c r="E68" t="s">
        <v>215</v>
      </c>
    </row>
    <row r="69">
      <c r="A69" t="s">
        <v>216</v>
      </c>
      <c r="B69" t="s">
        <v>217</v>
      </c>
      <c r="C69" t="s">
        <v>135</v>
      </c>
      <c r="D69" t="s">
        <v>218</v>
      </c>
      <c r="E69" t="s">
        <v>104</v>
      </c>
    </row>
    <row r="70">
      <c r="A70" t="s">
        <v>219</v>
      </c>
      <c r="B70" t="s">
        <v>220</v>
      </c>
      <c r="C70" t="s">
        <v>135</v>
      </c>
      <c r="D70" t="s">
        <v>167</v>
      </c>
      <c r="E70" t="s">
        <v>221</v>
      </c>
    </row>
    <row r="71">
      <c r="A71" t="s">
        <v>222</v>
      </c>
      <c r="B71" t="s">
        <v>69</v>
      </c>
      <c r="C71" t="s">
        <v>129</v>
      </c>
      <c r="E71" t="s">
        <v>101</v>
      </c>
    </row>
    <row r="72">
      <c r="A72" t="s">
        <v>18</v>
      </c>
      <c r="B72" t="s">
        <v>223</v>
      </c>
      <c r="C72" t="s">
        <v>140</v>
      </c>
    </row>
    <row r="74">
      <c r="A74" t="s">
        <v>224</v>
      </c>
    </row>
    <row r="75">
      <c r="A75" t="s">
        <v>120</v>
      </c>
      <c r="B75" t="s">
        <v>121</v>
      </c>
      <c r="C75" t="s">
        <v>122</v>
      </c>
      <c r="D75" t="s">
        <v>123</v>
      </c>
      <c r="E75" t="s">
        <v>124</v>
      </c>
    </row>
    <row r="76">
      <c r="A76" t="s">
        <v>125</v>
      </c>
      <c r="B76" t="s">
        <v>126</v>
      </c>
      <c r="C76" t="s">
        <v>127</v>
      </c>
      <c r="D76" t="s">
        <v>127</v>
      </c>
      <c r="E76" t="s">
        <v>86</v>
      </c>
    </row>
    <row r="77">
      <c r="A77" t="s">
        <v>20</v>
      </c>
      <c r="B77" t="s">
        <v>128</v>
      </c>
      <c r="C77" t="s">
        <v>129</v>
      </c>
      <c r="E77" t="s">
        <v>130</v>
      </c>
    </row>
    <row r="78">
      <c r="A78" t="s">
        <v>173</v>
      </c>
      <c r="B78" t="s">
        <v>225</v>
      </c>
      <c r="C78" t="s">
        <v>140</v>
      </c>
      <c r="E78" t="s">
        <v>226</v>
      </c>
    </row>
    <row r="79">
      <c r="A79" t="s">
        <v>175</v>
      </c>
      <c r="B79" t="s">
        <v>176</v>
      </c>
      <c r="C79" t="s">
        <v>129</v>
      </c>
      <c r="E79" t="s">
        <v>227</v>
      </c>
    </row>
    <row r="80">
      <c r="A80" t="s">
        <v>23</v>
      </c>
      <c r="B80" t="s">
        <v>177</v>
      </c>
      <c r="C80" t="s">
        <v>129</v>
      </c>
      <c r="E80" t="s">
        <v>228</v>
      </c>
    </row>
    <row r="81">
      <c r="A81" t="s">
        <v>229</v>
      </c>
      <c r="B81" t="s">
        <v>230</v>
      </c>
      <c r="C81" t="s">
        <v>231</v>
      </c>
      <c r="E81" t="s">
        <v>232</v>
      </c>
    </row>
    <row r="82">
      <c r="A82" t="s">
        <v>233</v>
      </c>
      <c r="B82" t="s">
        <v>234</v>
      </c>
      <c r="C82" t="s">
        <v>135</v>
      </c>
      <c r="D82" t="s">
        <v>144</v>
      </c>
      <c r="E82" t="s">
        <v>235</v>
      </c>
    </row>
    <row r="83">
      <c r="A83" t="s">
        <v>236</v>
      </c>
      <c r="B83" t="s">
        <v>237</v>
      </c>
      <c r="C83" t="s">
        <v>135</v>
      </c>
      <c r="D83" t="s">
        <v>238</v>
      </c>
      <c r="E83" t="s">
        <v>239</v>
      </c>
    </row>
    <row r="84">
      <c r="A84" t="s">
        <v>240</v>
      </c>
      <c r="B84" t="s">
        <v>241</v>
      </c>
      <c r="C84" t="s">
        <v>135</v>
      </c>
      <c r="D84" t="s">
        <v>238</v>
      </c>
      <c r="E84" t="s">
        <v>242</v>
      </c>
    </row>
    <row r="85">
      <c r="A85" t="s">
        <v>243</v>
      </c>
      <c r="B85" t="s">
        <v>244</v>
      </c>
      <c r="C85" t="s">
        <v>135</v>
      </c>
      <c r="D85" t="s">
        <v>238</v>
      </c>
      <c r="E85" t="s">
        <v>245</v>
      </c>
    </row>
    <row r="86">
      <c r="A86" t="s">
        <v>246</v>
      </c>
      <c r="B86" t="s">
        <v>247</v>
      </c>
      <c r="C86" t="s">
        <v>135</v>
      </c>
      <c r="D86" t="s">
        <v>167</v>
      </c>
      <c r="E86" t="s">
        <v>248</v>
      </c>
    </row>
    <row r="87">
      <c r="A87" t="s">
        <v>249</v>
      </c>
      <c r="B87" t="s">
        <v>250</v>
      </c>
      <c r="C87" t="s">
        <v>135</v>
      </c>
      <c r="D87" t="s">
        <v>167</v>
      </c>
      <c r="E87" t="s">
        <v>248</v>
      </c>
    </row>
    <row r="88">
      <c r="A88" t="s">
        <v>251</v>
      </c>
      <c r="B88" t="s">
        <v>252</v>
      </c>
      <c r="C88" t="s">
        <v>135</v>
      </c>
      <c r="D88" t="s">
        <v>167</v>
      </c>
      <c r="E88" t="s">
        <v>253</v>
      </c>
    </row>
    <row r="89">
      <c r="A89" t="s">
        <v>254</v>
      </c>
      <c r="B89" t="s">
        <v>255</v>
      </c>
      <c r="C89" t="s">
        <v>135</v>
      </c>
      <c r="D89" t="s">
        <v>256</v>
      </c>
      <c r="E89" t="s">
        <v>193</v>
      </c>
    </row>
    <row r="90">
      <c r="A90" t="s">
        <v>257</v>
      </c>
      <c r="B90" t="s">
        <v>258</v>
      </c>
      <c r="C90" t="s">
        <v>135</v>
      </c>
      <c r="D90" t="s">
        <v>259</v>
      </c>
      <c r="E90" t="s">
        <v>196</v>
      </c>
    </row>
    <row r="91">
      <c r="A91" t="s">
        <v>260</v>
      </c>
      <c r="B91" t="s">
        <v>261</v>
      </c>
      <c r="C91" t="s">
        <v>135</v>
      </c>
      <c r="D91" t="s">
        <v>259</v>
      </c>
      <c r="E91" t="s">
        <v>80</v>
      </c>
    </row>
    <row r="92">
      <c r="A92" t="s">
        <v>262</v>
      </c>
      <c r="B92" t="s">
        <v>262</v>
      </c>
      <c r="C92" t="s">
        <v>135</v>
      </c>
      <c r="E92" t="s">
        <v>185</v>
      </c>
    </row>
    <row r="93">
      <c r="A93" t="s">
        <v>18</v>
      </c>
      <c r="B93" t="s">
        <v>223</v>
      </c>
      <c r="C93" t="s">
        <v>140</v>
      </c>
    </row>
    <row r="95">
      <c r="A95" t="s">
        <v>263</v>
      </c>
    </row>
    <row r="96">
      <c r="A96" t="s">
        <v>120</v>
      </c>
      <c r="B96" t="s">
        <v>121</v>
      </c>
      <c r="C96" t="s">
        <v>122</v>
      </c>
      <c r="D96" t="s">
        <v>123</v>
      </c>
      <c r="E96" t="s">
        <v>124</v>
      </c>
    </row>
    <row r="97">
      <c r="A97" t="s">
        <v>125</v>
      </c>
      <c r="B97" t="s">
        <v>126</v>
      </c>
      <c r="C97" t="s">
        <v>127</v>
      </c>
      <c r="D97" t="s">
        <v>127</v>
      </c>
      <c r="E97" t="s">
        <v>86</v>
      </c>
    </row>
    <row r="98">
      <c r="A98" t="s">
        <v>20</v>
      </c>
      <c r="B98" t="s">
        <v>128</v>
      </c>
      <c r="C98" t="s">
        <v>129</v>
      </c>
      <c r="E98" t="s">
        <v>130</v>
      </c>
    </row>
    <row r="99">
      <c r="A99" t="s">
        <v>173</v>
      </c>
      <c r="B99" t="s">
        <v>264</v>
      </c>
      <c r="C99" t="s">
        <v>140</v>
      </c>
      <c r="E99" t="s">
        <v>226</v>
      </c>
    </row>
    <row r="100">
      <c r="A100" t="s">
        <v>175</v>
      </c>
      <c r="B100" t="s">
        <v>176</v>
      </c>
      <c r="C100" t="s">
        <v>129</v>
      </c>
      <c r="E100" t="s">
        <v>227</v>
      </c>
    </row>
    <row r="101">
      <c r="A101" t="s">
        <v>23</v>
      </c>
      <c r="B101" t="s">
        <v>177</v>
      </c>
      <c r="C101" t="s">
        <v>129</v>
      </c>
      <c r="E101" t="s">
        <v>265</v>
      </c>
    </row>
    <row r="102">
      <c r="A102" t="s">
        <v>266</v>
      </c>
      <c r="B102" t="s">
        <v>267</v>
      </c>
      <c r="C102" t="s">
        <v>140</v>
      </c>
      <c r="E102" t="s">
        <v>268</v>
      </c>
    </row>
    <row r="103">
      <c r="A103" t="s">
        <v>254</v>
      </c>
      <c r="B103" t="s">
        <v>269</v>
      </c>
      <c r="C103" t="s">
        <v>135</v>
      </c>
      <c r="D103" t="s">
        <v>256</v>
      </c>
      <c r="E103" t="s">
        <v>253</v>
      </c>
    </row>
    <row r="104">
      <c r="A104" t="s">
        <v>165</v>
      </c>
      <c r="B104" t="s">
        <v>270</v>
      </c>
      <c r="C104" t="s">
        <v>135</v>
      </c>
      <c r="D104" t="s">
        <v>167</v>
      </c>
      <c r="E104" t="s">
        <v>248</v>
      </c>
    </row>
    <row r="105">
      <c r="A105" t="s">
        <v>271</v>
      </c>
      <c r="B105" t="s">
        <v>272</v>
      </c>
      <c r="C105" t="s">
        <v>135</v>
      </c>
      <c r="D105" t="s">
        <v>259</v>
      </c>
      <c r="E105" t="s">
        <v>273</v>
      </c>
    </row>
    <row r="106">
      <c r="A106" t="s">
        <v>161</v>
      </c>
      <c r="B106" t="s">
        <v>274</v>
      </c>
      <c r="C106" t="s">
        <v>135</v>
      </c>
      <c r="D106" t="s">
        <v>163</v>
      </c>
      <c r="E106" t="s">
        <v>275</v>
      </c>
    </row>
    <row r="107">
      <c r="A107" t="s">
        <v>276</v>
      </c>
      <c r="B107" t="s">
        <v>277</v>
      </c>
      <c r="C107" t="s">
        <v>135</v>
      </c>
      <c r="E107" t="s">
        <v>278</v>
      </c>
    </row>
    <row r="108">
      <c r="A108" t="s">
        <v>279</v>
      </c>
      <c r="B108" t="s">
        <v>280</v>
      </c>
      <c r="C108" t="s">
        <v>140</v>
      </c>
      <c r="E108" t="s">
        <v>268</v>
      </c>
    </row>
    <row r="109">
      <c r="A109" t="s">
        <v>281</v>
      </c>
      <c r="B109" t="s">
        <v>282</v>
      </c>
      <c r="C109" t="s">
        <v>135</v>
      </c>
      <c r="D109" t="s">
        <v>163</v>
      </c>
      <c r="E109" t="s">
        <v>283</v>
      </c>
    </row>
    <row r="110">
      <c r="A110" t="s">
        <v>284</v>
      </c>
      <c r="B110" t="s">
        <v>285</v>
      </c>
      <c r="C110" t="s">
        <v>135</v>
      </c>
      <c r="D110" t="s">
        <v>167</v>
      </c>
      <c r="E110" t="s">
        <v>286</v>
      </c>
    </row>
    <row r="111">
      <c r="A111" t="s">
        <v>287</v>
      </c>
      <c r="B111" t="s">
        <v>288</v>
      </c>
      <c r="C111" t="s">
        <v>135</v>
      </c>
      <c r="D111" t="s">
        <v>167</v>
      </c>
      <c r="E111" t="s">
        <v>253</v>
      </c>
    </row>
    <row r="112">
      <c r="A112" t="s">
        <v>289</v>
      </c>
      <c r="B112" t="s">
        <v>290</v>
      </c>
      <c r="C112" t="s">
        <v>140</v>
      </c>
      <c r="E112" t="s">
        <v>291</v>
      </c>
    </row>
    <row r="113">
      <c r="A113" t="s">
        <v>292</v>
      </c>
      <c r="B113" t="s">
        <v>293</v>
      </c>
      <c r="C113" t="s">
        <v>135</v>
      </c>
      <c r="D113" t="s">
        <v>163</v>
      </c>
      <c r="E113" t="s">
        <v>273</v>
      </c>
    </row>
    <row r="114">
      <c r="A114" t="s">
        <v>294</v>
      </c>
      <c r="B114" t="s">
        <v>295</v>
      </c>
      <c r="C114" t="s">
        <v>135</v>
      </c>
      <c r="D114" t="s">
        <v>167</v>
      </c>
      <c r="E114" t="s">
        <v>296</v>
      </c>
    </row>
    <row r="116">
      <c r="A116" t="s">
        <v>297</v>
      </c>
    </row>
    <row r="117">
      <c r="A117" t="s">
        <v>120</v>
      </c>
      <c r="B117" t="s">
        <v>121</v>
      </c>
      <c r="C117" t="s">
        <v>122</v>
      </c>
      <c r="D117" t="s">
        <v>123</v>
      </c>
      <c r="E117" t="s">
        <v>124</v>
      </c>
    </row>
    <row r="118">
      <c r="A118" t="s">
        <v>125</v>
      </c>
      <c r="B118" t="s">
        <v>126</v>
      </c>
      <c r="C118" t="s">
        <v>127</v>
      </c>
      <c r="D118" t="s">
        <v>127</v>
      </c>
      <c r="E118" t="s">
        <v>86</v>
      </c>
    </row>
    <row r="119">
      <c r="A119" t="s">
        <v>20</v>
      </c>
      <c r="B119" t="s">
        <v>128</v>
      </c>
      <c r="C119" t="s">
        <v>129</v>
      </c>
      <c r="E119" t="s">
        <v>130</v>
      </c>
    </row>
    <row r="120">
      <c r="A120" t="s">
        <v>173</v>
      </c>
      <c r="B120" t="s">
        <v>298</v>
      </c>
      <c r="C120" t="s">
        <v>140</v>
      </c>
      <c r="E120" t="s">
        <v>299</v>
      </c>
    </row>
    <row r="121">
      <c r="A121" t="s">
        <v>175</v>
      </c>
      <c r="B121" t="s">
        <v>176</v>
      </c>
      <c r="C121" t="s">
        <v>129</v>
      </c>
      <c r="E121" t="s">
        <v>227</v>
      </c>
    </row>
    <row r="122">
      <c r="A122" t="s">
        <v>23</v>
      </c>
      <c r="B122" t="s">
        <v>177</v>
      </c>
      <c r="C122" t="s">
        <v>129</v>
      </c>
      <c r="E122" t="s">
        <v>300</v>
      </c>
    </row>
    <row r="123">
      <c r="A123" t="s">
        <v>54</v>
      </c>
      <c r="B123" t="s">
        <v>301</v>
      </c>
      <c r="C123" t="s">
        <v>129</v>
      </c>
      <c r="E123" t="s">
        <v>302</v>
      </c>
    </row>
    <row r="124">
      <c r="A124" t="s">
        <v>165</v>
      </c>
      <c r="B124" t="s">
        <v>270</v>
      </c>
      <c r="C124" t="s">
        <v>135</v>
      </c>
      <c r="D124" t="s">
        <v>167</v>
      </c>
      <c r="E124" t="s">
        <v>248</v>
      </c>
    </row>
    <row r="125">
      <c r="A125" t="s">
        <v>303</v>
      </c>
      <c r="B125" t="s">
        <v>304</v>
      </c>
      <c r="C125" t="s">
        <v>135</v>
      </c>
      <c r="D125" t="s">
        <v>305</v>
      </c>
      <c r="E125" t="s">
        <v>306</v>
      </c>
    </row>
    <row r="126">
      <c r="A126" t="s">
        <v>307</v>
      </c>
      <c r="B126" t="s">
        <v>274</v>
      </c>
      <c r="C126" t="s">
        <v>135</v>
      </c>
      <c r="D126" t="s">
        <v>163</v>
      </c>
      <c r="E126" t="s">
        <v>308</v>
      </c>
    </row>
    <row r="127">
      <c r="A127" t="s">
        <v>309</v>
      </c>
      <c r="B127" t="s">
        <v>310</v>
      </c>
      <c r="C127" t="s">
        <v>135</v>
      </c>
      <c r="D127" t="s">
        <v>163</v>
      </c>
      <c r="E127" t="s">
        <v>311</v>
      </c>
    </row>
    <row r="128">
      <c r="A128" t="s">
        <v>312</v>
      </c>
      <c r="B128" t="s">
        <v>313</v>
      </c>
      <c r="C128" t="s">
        <v>135</v>
      </c>
      <c r="D128" t="s">
        <v>314</v>
      </c>
      <c r="E128" t="s">
        <v>248</v>
      </c>
    </row>
    <row r="129">
      <c r="A129" t="s">
        <v>315</v>
      </c>
      <c r="B129" t="s">
        <v>316</v>
      </c>
      <c r="C129" t="s">
        <v>135</v>
      </c>
      <c r="D129" t="s">
        <v>199</v>
      </c>
      <c r="E129" t="s">
        <v>104</v>
      </c>
    </row>
    <row r="130">
      <c r="A130" t="s">
        <v>254</v>
      </c>
      <c r="B130" t="s">
        <v>269</v>
      </c>
      <c r="C130" t="s">
        <v>135</v>
      </c>
      <c r="D130" t="s">
        <v>256</v>
      </c>
      <c r="E130" t="s">
        <v>317</v>
      </c>
    </row>
    <row r="131">
      <c r="A131" t="s">
        <v>318</v>
      </c>
      <c r="B131" t="s">
        <v>318</v>
      </c>
      <c r="C131" t="s">
        <v>135</v>
      </c>
      <c r="D131" t="s">
        <v>319</v>
      </c>
      <c r="E131" t="s">
        <v>320</v>
      </c>
    </row>
    <row r="132">
      <c r="A132" t="s">
        <v>18</v>
      </c>
      <c r="B132" t="s">
        <v>223</v>
      </c>
      <c r="C132" t="s">
        <v>140</v>
      </c>
    </row>
    <row r="134">
      <c r="A134" t="s">
        <v>321</v>
      </c>
    </row>
    <row r="135">
      <c r="A135" t="s">
        <v>120</v>
      </c>
      <c r="B135" t="s">
        <v>121</v>
      </c>
      <c r="C135" t="s">
        <v>122</v>
      </c>
      <c r="D135" t="s">
        <v>123</v>
      </c>
      <c r="E135" t="s">
        <v>124</v>
      </c>
    </row>
    <row r="136">
      <c r="A136" t="s">
        <v>125</v>
      </c>
      <c r="B136" t="s">
        <v>126</v>
      </c>
      <c r="C136" t="s">
        <v>127</v>
      </c>
      <c r="D136" t="s">
        <v>127</v>
      </c>
      <c r="E136" t="s">
        <v>86</v>
      </c>
    </row>
    <row r="137">
      <c r="A137" t="s">
        <v>20</v>
      </c>
      <c r="B137" t="s">
        <v>128</v>
      </c>
      <c r="C137" t="s">
        <v>129</v>
      </c>
      <c r="E137" t="s">
        <v>130</v>
      </c>
    </row>
    <row r="138">
      <c r="A138" t="s">
        <v>322</v>
      </c>
      <c r="B138" t="s">
        <v>322</v>
      </c>
      <c r="C138" t="s">
        <v>323</v>
      </c>
      <c r="D138" t="s">
        <v>167</v>
      </c>
      <c r="E138" t="s">
        <v>324</v>
      </c>
    </row>
    <row r="139">
      <c r="A139" t="s">
        <v>325</v>
      </c>
      <c r="B139" t="s">
        <v>325</v>
      </c>
      <c r="C139" t="s">
        <v>323</v>
      </c>
      <c r="D139" t="s">
        <v>326</v>
      </c>
      <c r="E139" t="s">
        <v>104</v>
      </c>
    </row>
    <row r="140">
      <c r="A140" t="s">
        <v>327</v>
      </c>
      <c r="B140" t="s">
        <v>328</v>
      </c>
      <c r="C140" t="s">
        <v>323</v>
      </c>
      <c r="D140" t="s">
        <v>329</v>
      </c>
      <c r="E140" t="s">
        <v>273</v>
      </c>
    </row>
    <row r="141">
      <c r="A141" t="s">
        <v>330</v>
      </c>
      <c r="B141" t="s">
        <v>331</v>
      </c>
      <c r="C141" t="s">
        <v>323</v>
      </c>
      <c r="D141" t="s">
        <v>329</v>
      </c>
      <c r="E141" t="s">
        <v>273</v>
      </c>
    </row>
    <row r="142">
      <c r="A142" t="s">
        <v>332</v>
      </c>
      <c r="B142" t="s">
        <v>328</v>
      </c>
      <c r="C142" t="s">
        <v>323</v>
      </c>
      <c r="D142" t="s">
        <v>329</v>
      </c>
      <c r="E142" t="s">
        <v>273</v>
      </c>
    </row>
    <row r="143">
      <c r="A143" t="s">
        <v>333</v>
      </c>
      <c r="B143" t="s">
        <v>331</v>
      </c>
      <c r="C143" t="s">
        <v>323</v>
      </c>
      <c r="D143" t="s">
        <v>329</v>
      </c>
      <c r="E143" t="s">
        <v>273</v>
      </c>
    </row>
    <row r="144">
      <c r="A144" t="s">
        <v>334</v>
      </c>
      <c r="B144" t="s">
        <v>335</v>
      </c>
      <c r="C144" t="s">
        <v>323</v>
      </c>
      <c r="D144" t="s">
        <v>167</v>
      </c>
      <c r="E144" t="s">
        <v>320</v>
      </c>
    </row>
    <row r="145">
      <c r="A145" t="s">
        <v>336</v>
      </c>
      <c r="B145" t="s">
        <v>337</v>
      </c>
      <c r="C145" t="s">
        <v>323</v>
      </c>
      <c r="D145" t="s">
        <v>167</v>
      </c>
      <c r="E145" t="s">
        <v>320</v>
      </c>
    </row>
    <row r="146">
      <c r="A146" t="s">
        <v>18</v>
      </c>
      <c r="B146" t="s">
        <v>223</v>
      </c>
      <c r="C146" t="s">
        <v>140</v>
      </c>
    </row>
    <row r="149">
      <c r="A149" t="s">
        <v>338</v>
      </c>
    </row>
    <row r="150">
      <c r="A150" t="s">
        <v>339</v>
      </c>
    </row>
    <row r="151">
      <c r="A151" t="s">
        <v>340</v>
      </c>
    </row>
    <row r="152">
      <c r="A152" t="s">
        <v>341</v>
      </c>
    </row>
    <row r="154">
      <c r="A154" t="s">
        <v>342</v>
      </c>
    </row>
    <row r="155">
      <c r="A155" t="s">
        <v>343</v>
      </c>
    </row>
    <row r="156">
      <c r="A156" t="s">
        <v>344</v>
      </c>
    </row>
    <row r="157">
      <c r="A157" s="6" t="s">
        <v>345</v>
      </c>
    </row>
    <row r="158">
      <c r="A158" s="6" t="s">
        <v>346</v>
      </c>
    </row>
  </sheetData>
  <hyperlinks>
    <hyperlink r:id="rId1" ref="A157"/>
    <hyperlink r:id="rId2" ref="A158"/>
  </hyperlink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cols>
    <col customWidth="1" min="1" max="1" width="120"/>
  </cols>
  <sheetData>
    <row r="1">
      <c r="A1" t="s">
        <v>347</v>
      </c>
    </row>
    <row r="2">
      <c r="A2" t="s">
        <v>348</v>
      </c>
    </row>
    <row r="3">
      <c r="A3" t="s">
        <v>349</v>
      </c>
    </row>
    <row r="5">
      <c r="A5" t="s">
        <v>350</v>
      </c>
    </row>
    <row r="7">
      <c r="A7" t="s">
        <v>351</v>
      </c>
    </row>
    <row r="8">
      <c r="A8" t="s">
        <v>352</v>
      </c>
    </row>
    <row r="9">
      <c r="A9" t="s">
        <v>353</v>
      </c>
    </row>
    <row r="10">
      <c r="A10" t="s">
        <v>354</v>
      </c>
    </row>
    <row r="11">
      <c r="A11" t="s">
        <v>355</v>
      </c>
    </row>
    <row r="12">
      <c r="A12" t="s">
        <v>356</v>
      </c>
    </row>
    <row r="13">
      <c r="A13" t="s">
        <v>357</v>
      </c>
    </row>
    <row r="14">
      <c r="A14" t="s">
        <v>358</v>
      </c>
    </row>
    <row r="15">
      <c r="A15" t="s">
        <v>359</v>
      </c>
    </row>
    <row r="17">
      <c r="A17" t="s">
        <v>360</v>
      </c>
    </row>
    <row r="18">
      <c r="A18" t="s">
        <v>361</v>
      </c>
    </row>
  </sheetData>
  <hyperlinks>
    <hyperlink r:id="rId1" ref="A2"/>
    <hyperlink r:id="rId2" ref="A3"/>
  </hyperlink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1</cp:revision>
  <dcterms:created xsi:type="dcterms:W3CDTF">2026-09-22T14:32:55Z</dcterms:created>
  <dcterms:modified xsi:type="dcterms:W3CDTF">2026-10-08T14:52:53Z</dcterms:modified>
</cp:coreProperties>
</file>