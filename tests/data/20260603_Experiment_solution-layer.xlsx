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wsl.localhost\Ubuntu-20.04\root\nomad-distro-dev\packages\nomad-hysprint\tests\data\"/>
    </mc:Choice>
  </mc:AlternateContent>
  <xr:revisionPtr revIDLastSave="0" documentId="13_ncr:1_{CB9CACD3-A138-452E-AF4C-53E148F7057B}" xr6:coauthVersionLast="47" xr6:coauthVersionMax="47" xr10:uidLastSave="{00000000-0000-0000-0000-000000000000}"/>
  <bookViews>
    <workbookView xWindow="-28944" yWindow="3144" windowWidth="23040" windowHeight="12120" xr2:uid="{00000000-000D-0000-FFFF-FFFF00000000}"/>
  </bookViews>
  <sheets>
    <sheet name="Experiment Data" sheetId="1" r:id="rId1"/>
    <sheet name="Data Entry Guide" sheetId="2" r:id="rId2"/>
    <sheet name="How to Ci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<sst xmlns="http://schemas.openxmlformats.org/spreadsheetml/2006/main" count="639" uniqueCount="327">
  <si>
    <t>Experiment Info</t>
  </si>
  <si>
    <t>1: Slot Die Coating</t>
  </si>
  <si>
    <t>Date</t>
  </si>
  <si>
    <t>Project_Name</t>
  </si>
  <si>
    <t>Batch</t>
  </si>
  <si>
    <t>Subbatch</t>
  </si>
  <si>
    <t>Sample</t>
  </si>
  <si>
    <t>Nomad ID</t>
  </si>
  <si>
    <t>Variation</t>
  </si>
  <si>
    <t>Sample dimension</t>
  </si>
  <si>
    <t>Sample area [cm^2]</t>
  </si>
  <si>
    <t>Number of pixels</t>
  </si>
  <si>
    <t>Pixel area [cm^2]</t>
  </si>
  <si>
    <t>Substrate material</t>
  </si>
  <si>
    <t>Substrate conductive layer</t>
  </si>
  <si>
    <t>Sheet Resistance [Ohms/square]</t>
  </si>
  <si>
    <t>Transmission [%]</t>
  </si>
  <si>
    <t>Number of junctions</t>
  </si>
  <si>
    <t>Notes</t>
  </si>
  <si>
    <t>Datetime</t>
  </si>
  <si>
    <t>Operator</t>
  </si>
  <si>
    <t>Material name</t>
  </si>
  <si>
    <t>Layer type</t>
  </si>
  <si>
    <t>Tool/GB name</t>
  </si>
  <si>
    <t>Layer thickness [nm]</t>
  </si>
  <si>
    <t>Solvent 1 name</t>
  </si>
  <si>
    <t>Solvent 1 volume [uL]</t>
  </si>
  <si>
    <t>Solvent 1 relative amount</t>
  </si>
  <si>
    <t>Solvent 1 chemical ID</t>
  </si>
  <si>
    <t>Solute 1 name</t>
  </si>
  <si>
    <t>Solute 1 Concentration [mM]</t>
  </si>
  <si>
    <t>Solute 1 chemical ID</t>
  </si>
  <si>
    <t>Viscosity [mPa*s]</t>
  </si>
  <si>
    <t>Contact angle [°]</t>
  </si>
  <si>
    <t>Density [g/cm^3]</t>
  </si>
  <si>
    <t>Surface tension [mN/m]</t>
  </si>
  <si>
    <t>Solution volume [uL]</t>
  </si>
  <si>
    <t>Flow rate [ul/min]</t>
  </si>
  <si>
    <t>Head gap [mm]</t>
  </si>
  <si>
    <t>Speed [mm/s]</t>
  </si>
  <si>
    <t>Air knife angle [°]</t>
  </si>
  <si>
    <t>Air knife gap [cm]</t>
  </si>
  <si>
    <t>Bead volume [mm/s]</t>
  </si>
  <si>
    <t>Drying speed [cm/min]</t>
  </si>
  <si>
    <t>Chuck heating temperature [°C]</t>
  </si>
  <si>
    <t>Annealing time [min]</t>
  </si>
  <si>
    <t>Annealing temperature [°C]</t>
  </si>
  <si>
    <t>Annealing atmosphere</t>
  </si>
  <si>
    <t>26-02-2025</t>
  </si>
  <si>
    <t>FiNa</t>
  </si>
  <si>
    <t>1</t>
  </si>
  <si>
    <t>1000 rpm</t>
  </si>
  <si>
    <t>1 cm x 1 cm</t>
  </si>
  <si>
    <t>Soda Lime Glass</t>
  </si>
  <si>
    <t>ITO</t>
  </si>
  <si>
    <t>Test excel</t>
  </si>
  <si>
    <t>09.01.2026 10:19:00</t>
  </si>
  <si>
    <t>MaxMustermann</t>
  </si>
  <si>
    <t>Cs0.05(MA0.17FA0.83)0.95Pb(I0.83Br0.17)3</t>
  </si>
  <si>
    <t>Absorber</t>
  </si>
  <si>
    <t>HZB-HySprintBox</t>
  </si>
  <si>
    <t>DMF</t>
  </si>
  <si>
    <t>1592-461-04-2</t>
  </si>
  <si>
    <t>PbI2</t>
  </si>
  <si>
    <t>2393-752-02-3</t>
  </si>
  <si>
    <t>Nitrogen</t>
  </si>
  <si>
    <t>Process notes</t>
  </si>
  <si>
    <t>Perovskite Solar Cell Fabrication Sequence (version Jan 2026)</t>
  </si>
  <si>
    <t>Data Entry Guide</t>
  </si>
  <si>
    <t>1. Introduction</t>
  </si>
  <si>
    <t>This guide provides instructions for filling out the spreadsheet that tracks the fabrication sequence of perovskite solar cells, supporting automated data upload to NOMAD.</t>
  </si>
  <si>
    <t>• Note: This guide is a reference. For specific questions or custom spreadsheet requests, please contact a Data Steward.</t>
  </si>
  <si>
    <t>• Customization: Each scientist may follow different fabrication steps. Data Stewards can provide a tailored spreadsheet for your workflow.</t>
  </si>
  <si>
    <t>• Coverage: Most Hysprint and IRIS lab processes are included. If you need to track additional information, contact a Data Steward.</t>
  </si>
  <si>
    <t>• Important: Do not add columns to the spreadsheet, as they will not be parsed.</t>
  </si>
  <si>
    <t>Example Fabrication Sequence:</t>
  </si>
  <si>
    <t>• Cleaning: 4 steps, UV-Ozone (ITO substrates)</t>
  </si>
  <si>
    <t>• Spin Coating: 1 solvent, 1 solute, 1 step (SAM)</t>
  </si>
  <si>
    <t>• Spin Coating: 2 solvents, 5 solutes, 2 steps, with antisolvent (Perovskite)</t>
  </si>
  <si>
    <t>• Evaporation: C60, BCP, Copper</t>
  </si>
  <si>
    <t>2. Detailed Field Descriptions</t>
  </si>
  <si>
    <t>Upload Name: Choose a descriptive upload name (e.g., project name + batch).</t>
  </si>
  <si>
    <t>Field Name</t>
  </si>
  <si>
    <t>Description</t>
  </si>
  <si>
    <t>Data Format</t>
  </si>
  <si>
    <t>Units</t>
  </si>
  <si>
    <t>Example</t>
  </si>
  <si>
    <t>Date Time</t>
  </si>
  <si>
    <t>Date and time of process</t>
  </si>
  <si>
    <t>DD.MM.YYYY HH:MM:SS</t>
  </si>
  <si>
    <t>Person who did the process</t>
  </si>
  <si>
    <t>Text</t>
  </si>
  <si>
    <t>Max Mustermann</t>
  </si>
  <si>
    <t>Date of experiment</t>
  </si>
  <si>
    <t>DD-MM-YYYY</t>
  </si>
  <si>
    <t>Scientist initials/project name</t>
  </si>
  <si>
    <t>General experiment batch number</t>
  </si>
  <si>
    <t>Number</t>
  </si>
  <si>
    <t>Subset for variations</t>
  </si>
  <si>
    <t>2</t>
  </si>
  <si>
    <t>Sample serial number</t>
  </si>
  <si>
    <t>Auto-generated sample ID</t>
  </si>
  <si>
    <t>Alphanumeric</t>
  </si>
  <si>
    <t>Subbatch variation</t>
  </si>
  <si>
    <t>Sample Dimension</t>
  </si>
  <si>
    <t>Sample size</t>
  </si>
  <si>
    <t>cm</t>
  </si>
  <si>
    <t>Sample area</t>
  </si>
  <si>
    <t>Active area (e.g., ITO/Cu overlap)</t>
  </si>
  <si>
    <t>cm²</t>
  </si>
  <si>
    <t>0.16</t>
  </si>
  <si>
    <t>6</t>
  </si>
  <si>
    <t>Pixel area</t>
  </si>
  <si>
    <t>Area per pixel</t>
  </si>
  <si>
    <t>Substrate Material</t>
  </si>
  <si>
    <t>Substrate Conductive Layer</t>
  </si>
  <si>
    <t>Conductive layer material</t>
  </si>
  <si>
    <t>Number of Junctions</t>
  </si>
  <si>
    <t>Additional notes or methods</t>
  </si>
  <si>
    <t>Step 1: Cleaning (UV-Ozone)</t>
  </si>
  <si>
    <t>Solvent</t>
  </si>
  <si>
    <t>Cleaning solvent</t>
  </si>
  <si>
    <t>Hellmanex</t>
  </si>
  <si>
    <t>Time</t>
  </si>
  <si>
    <t>Ultrasonic bath time</t>
  </si>
  <si>
    <t>s</t>
  </si>
  <si>
    <t>31</t>
  </si>
  <si>
    <t>Temperature</t>
  </si>
  <si>
    <t>Bath temperature</t>
  </si>
  <si>
    <t>°C</t>
  </si>
  <si>
    <t>61</t>
  </si>
  <si>
    <t>UV-Ozone Time</t>
  </si>
  <si>
    <t>UV-Ozone duration</t>
  </si>
  <si>
    <t>900</t>
  </si>
  <si>
    <t>Step 2: Spin Coating</t>
  </si>
  <si>
    <t>Material Name</t>
  </si>
  <si>
    <t>Coated material</t>
  </si>
  <si>
    <t>Layer Type</t>
  </si>
  <si>
    <t>Type of layer</t>
  </si>
  <si>
    <t>Tool used</t>
  </si>
  <si>
    <t>First solvent</t>
  </si>
  <si>
    <t>Solvent 1 volume</t>
  </si>
  <si>
    <t>Volume of solvent 1</t>
  </si>
  <si>
    <t>µL</t>
  </si>
  <si>
    <t>10</t>
  </si>
  <si>
    <t>Solvent 1 relative amt.</t>
  </si>
  <si>
    <t>Relative amount of solvent 1</t>
  </si>
  <si>
    <t>1.5</t>
  </si>
  <si>
    <t>First solute</t>
  </si>
  <si>
    <t>Solute 1 Concentration</t>
  </si>
  <si>
    <t>Concentration of solute 1</t>
  </si>
  <si>
    <t>mM</t>
  </si>
  <si>
    <t>1.42</t>
  </si>
  <si>
    <t>Solution volume</t>
  </si>
  <si>
    <t>Total solution volume</t>
  </si>
  <si>
    <t>100</t>
  </si>
  <si>
    <t>Spin Delay</t>
  </si>
  <si>
    <t>Delay before spinning</t>
  </si>
  <si>
    <t>0.5</t>
  </si>
  <si>
    <t>Rotation Speed 1</t>
  </si>
  <si>
    <t>First spin speed</t>
  </si>
  <si>
    <t>rpm</t>
  </si>
  <si>
    <t>3001</t>
  </si>
  <si>
    <t>Rotation time 1</t>
  </si>
  <si>
    <t>First spin time</t>
  </si>
  <si>
    <t>Acceleration 1</t>
  </si>
  <si>
    <t>First acceleration</t>
  </si>
  <si>
    <t>rpm/s</t>
  </si>
  <si>
    <t>1001</t>
  </si>
  <si>
    <t>Rotation speed 2</t>
  </si>
  <si>
    <t>Second spin speed</t>
  </si>
  <si>
    <t>3002</t>
  </si>
  <si>
    <t>Rotation time 2</t>
  </si>
  <si>
    <t>Second spin time</t>
  </si>
  <si>
    <t>32</t>
  </si>
  <si>
    <t>Acceleration 2</t>
  </si>
  <si>
    <t>Second acceleration</t>
  </si>
  <si>
    <t>1002</t>
  </si>
  <si>
    <t>Annealing Time</t>
  </si>
  <si>
    <t>Annealing duration</t>
  </si>
  <si>
    <t>min</t>
  </si>
  <si>
    <t>30</t>
  </si>
  <si>
    <t>Annealing Temperature</t>
  </si>
  <si>
    <t>Annealing temperature</t>
  </si>
  <si>
    <t>120</t>
  </si>
  <si>
    <t>Annealing Atmosphere</t>
  </si>
  <si>
    <t>Additional notes</t>
  </si>
  <si>
    <t>Step 3: Evaporation</t>
  </si>
  <si>
    <t>Evaporated material</t>
  </si>
  <si>
    <t>PCBM</t>
  </si>
  <si>
    <t>Electron Transport Layer</t>
  </si>
  <si>
    <t>Hysprint Evap</t>
  </si>
  <si>
    <t>Organic</t>
  </si>
  <si>
    <t>Is the layer organic?</t>
  </si>
  <si>
    <t>Boolean</t>
  </si>
  <si>
    <t>True</t>
  </si>
  <si>
    <t>Sample Holder width</t>
  </si>
  <si>
    <t>Width of sample holder</t>
  </si>
  <si>
    <t>5</t>
  </si>
  <si>
    <t>Base Pressure</t>
  </si>
  <si>
    <t>Base pressure</t>
  </si>
  <si>
    <t>bar</t>
  </si>
  <si>
    <t>0.00001</t>
  </si>
  <si>
    <t>Pressure start</t>
  </si>
  <si>
    <t>Start pressure</t>
  </si>
  <si>
    <t>0.00005</t>
  </si>
  <si>
    <t>Pressure end</t>
  </si>
  <si>
    <t>End pressure</t>
  </si>
  <si>
    <t>0.00003</t>
  </si>
  <si>
    <t>Source temp. start</t>
  </si>
  <si>
    <t>Source temp. (start)</t>
  </si>
  <si>
    <t>150</t>
  </si>
  <si>
    <t>Source temp. end</t>
  </si>
  <si>
    <t>Source temp. (end)</t>
  </si>
  <si>
    <t>Substrate temperature</t>
  </si>
  <si>
    <t>Substrate temp.</t>
  </si>
  <si>
    <t>25</t>
  </si>
  <si>
    <t>Thickness</t>
  </si>
  <si>
    <t>Layer thickness</t>
  </si>
  <si>
    <t>nm</t>
  </si>
  <si>
    <t>Rate start</t>
  </si>
  <si>
    <t>Start deposition rate</t>
  </si>
  <si>
    <t>Å/s</t>
  </si>
  <si>
    <t>Rate target</t>
  </si>
  <si>
    <t>Target deposition rate</t>
  </si>
  <si>
    <t>Tooling factor</t>
  </si>
  <si>
    <t>Step 4: ALD (Atomic Layer Deposition)</t>
  </si>
  <si>
    <t>Deposited material</t>
  </si>
  <si>
    <t>IRIS ALD</t>
  </si>
  <si>
    <t>Source</t>
  </si>
  <si>
    <t>Precursor source</t>
  </si>
  <si>
    <t>TMA</t>
  </si>
  <si>
    <t>Film thickness</t>
  </si>
  <si>
    <t>Deposition temperature</t>
  </si>
  <si>
    <t>Rate</t>
  </si>
  <si>
    <t>Deposition rate</t>
  </si>
  <si>
    <t>0.1</t>
  </si>
  <si>
    <t>Deposition time</t>
  </si>
  <si>
    <t>1800</t>
  </si>
  <si>
    <t>Number of cycles</t>
  </si>
  <si>
    <t>Number of ALD cycles</t>
  </si>
  <si>
    <t>250</t>
  </si>
  <si>
    <t>Precursor 1</t>
  </si>
  <si>
    <t>First precursor</t>
  </si>
  <si>
    <t>Pulse Duration 1</t>
  </si>
  <si>
    <t>Pulse duration (precursor 1)</t>
  </si>
  <si>
    <t>0.2</t>
  </si>
  <si>
    <t>Manifold temp. 1</t>
  </si>
  <si>
    <t>Manifold temp. (precursor 1)</t>
  </si>
  <si>
    <t>80</t>
  </si>
  <si>
    <t>Bottle temp. 1</t>
  </si>
  <si>
    <t>Bottle temp. (precursor 1)</t>
  </si>
  <si>
    <t>Precursor 2</t>
  </si>
  <si>
    <t>Second precursor</t>
  </si>
  <si>
    <t>H2O</t>
  </si>
  <si>
    <t>Pulse Duration 2</t>
  </si>
  <si>
    <t>Pulse duration (precursor 2)</t>
  </si>
  <si>
    <t>Manifold temp. 2</t>
  </si>
  <si>
    <t>Manifold temp. (precursor 2)</t>
  </si>
  <si>
    <t>70</t>
  </si>
  <si>
    <t>Step 5: Sputtering</t>
  </si>
  <si>
    <t>Sputtered material</t>
  </si>
  <si>
    <t>TiO2</t>
  </si>
  <si>
    <t>Hysprint tool</t>
  </si>
  <si>
    <t>Gas</t>
  </si>
  <si>
    <t>Sputtering gas</t>
  </si>
  <si>
    <t>Argon</t>
  </si>
  <si>
    <t>Pressure</t>
  </si>
  <si>
    <t>Chamber pressure</t>
  </si>
  <si>
    <t>mbar</t>
  </si>
  <si>
    <t>0.01</t>
  </si>
  <si>
    <t>Deposition Time</t>
  </si>
  <si>
    <t>300</t>
  </si>
  <si>
    <t>Burn in time</t>
  </si>
  <si>
    <t>Burn-in time</t>
  </si>
  <si>
    <t>60</t>
  </si>
  <si>
    <t>Power</t>
  </si>
  <si>
    <t>Sputtering power</t>
  </si>
  <si>
    <t>W</t>
  </si>
  <si>
    <t>Rotation rate</t>
  </si>
  <si>
    <t>Substrate rotation rate</t>
  </si>
  <si>
    <t>50</t>
  </si>
  <si>
    <t>Gas flow rate</t>
  </si>
  <si>
    <t>cm³/min</t>
  </si>
  <si>
    <t>20</t>
  </si>
  <si>
    <t>Step 6: Atmospheric</t>
  </si>
  <si>
    <t>Room temperature</t>
  </si>
  <si>
    <t>number</t>
  </si>
  <si>
    <t>21</t>
  </si>
  <si>
    <t>Room relative humidity</t>
  </si>
  <si>
    <t>%</t>
  </si>
  <si>
    <t>Start GB Oxygen level</t>
  </si>
  <si>
    <t>Start ppm values on glovebox</t>
  </si>
  <si>
    <t>ppm</t>
  </si>
  <si>
    <t>End GB Oxygen level</t>
  </si>
  <si>
    <t>End ppm values on glovebox</t>
  </si>
  <si>
    <t>Start GB Water level</t>
  </si>
  <si>
    <t>End GB Water level</t>
  </si>
  <si>
    <t>Start GB Temperature</t>
  </si>
  <si>
    <t>Start temperature on glovebox</t>
  </si>
  <si>
    <t>End GB Temperature</t>
  </si>
  <si>
    <t>End temperature on glovebox</t>
  </si>
  <si>
    <t>3. Data Entry Best Practices</t>
  </si>
  <si>
    <t>• Decimal Points: Use a dot or comma as appropriate for your Excel/language settings.</t>
  </si>
  <si>
    <t>• Consistency: Use consistent names for materials, processes, and equipment.</t>
  </si>
  <si>
    <t>• Completeness: Record as many parameters as possible for each step.</t>
  </si>
  <si>
    <t>4. File Naming Conventions</t>
  </si>
  <si>
    <t>• Standard Format: Each measurement file should be saved as Nomad_id.comment.measurement_type.file_format</t>
  </si>
  <si>
    <t xml:space="preserve">  Example: DG_MMB_24_0_C-19.jv.txt</t>
  </si>
  <si>
    <t>• File Uploader Voila Dashboard</t>
  </si>
  <si>
    <t>The Voila notebook automatically formats measurement files, so manual renaming is not required. We recommend using this method from now on. For how-to-guide, click here</t>
  </si>
  <si>
    <t>5. How to Cite</t>
  </si>
  <si>
    <t>• NOMAD: How to cite NOMAD (link to https://nomad-lab.eu/nomad-lab/cite.html)</t>
  </si>
  <si>
    <t>• Code/Voila Notebooks: How to cite code from nomad-hzb-se OASIS (link to https://github.com/nomad-hzb/nomad-hysprint)</t>
  </si>
  <si>
    <t>If you use code or Voila notebooks for scientific analysis from the nomad-hzb repository, please cite as follows (unless the journal that you wish to publish requires a different format):</t>
  </si>
  <si>
    <t>Citation Fields:</t>
  </si>
  <si>
    <t>Title: NOMAD Hysprint: NOMAD's schema for HZB perovskite research</t>
  </si>
  <si>
    <t>Author(s): NOMAD-HZB contributors</t>
  </si>
  <si>
    <t>Date of Publication: [Year of use or latest commit]</t>
  </si>
  <si>
    <t>Publisher: GitHub</t>
  </si>
  <si>
    <t>DOI or URL: https://github.com/nomad-hzb/nomad-hysprint</t>
  </si>
  <si>
    <t>Version or Date Downloaded: [Version, release tag, or date you accessed/downloaded the code]</t>
  </si>
  <si>
    <t>• (Optional) Commit Hash: [Specific commit hash, for reproducibility]</t>
  </si>
  <si>
    <t>• License: Code: Apache-2.0; Voila Notebooks: CC BY 4.0</t>
  </si>
  <si>
    <t>Example Citation:</t>
  </si>
  <si>
    <t>NOMAD Hysprint: NOMAD's schema for HZB perovskite research. NOMAD-HZB contributors. 2025. GitHub. https://github.com/nomad-hzb/nomad-hysprint. Accessed: 2025-04-25. Version: main branch, commit [commit-hash]. Code licensed under Apache-2.0; Voila notebooks licensed under CC BY 4.0.</t>
  </si>
  <si>
    <t>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</si>
</sst>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77B4"/>
        <bgColor rgb="FF1F77B4"/>
      </patternFill>
    </fill>
    <fill>
      <patternFill patternType="solid">
        <fgColor rgb="FF8FBBD9"/>
        <bgColor rgb="FF8FBBD9"/>
      </patternFill>
    </fill>
    <fill>
      <patternFill patternType="solid">
        <fgColor rgb="FFFF7F0E"/>
        <bgColor rgb="FFFF7F0E"/>
      </patternFill>
    </fill>
    <fill>
      <patternFill patternType="solid">
        <fgColor rgb="FFFFBF86"/>
        <bgColor rgb="FFFFBF8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3" borderId="0" xfId="0" applyFill="1"/>
    <xf numFmtId="0" fontId="0" fillId="5" borderId="0" xfId="0" applyFill="1"/>
    <xf numFmtId="0" fontId="1" fillId="0" borderId="0" xfId="1"/>
    <xf numFmtId="0" fontId="0" fillId="2" borderId="0" xfId="0" applyFill="1" applyAlignment="1">
      <alignment horizontal="left" vertical="center"/>
    </xf>
    <xf numFmtId="0" fontId="0" fillId="0" borderId="0" xfId="0"/>
    <xf numFmtId="0" fontId="0" fillId="4" borderId="0" xfId="0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scribehow.com/viewer/How_to_Work_on_the_HZB_Nomad_Oasis__bRbhHOaCR2S3dBIeQLYw8A" TargetMode="External"/><Relationship Id="rId1" Type="http://schemas.openxmlformats.org/officeDocument/2006/relationships/hyperlink" Target="https://nomad-hzb-se.de/nomad-oasis/gui/search/voila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nomad-hzb/nomad-hysprint" TargetMode="External"/><Relationship Id="rId1" Type="http://schemas.openxmlformats.org/officeDocument/2006/relationships/hyperlink" Target="https://nomad-lab.eu/nomad-lab/cit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"/>
  <sheetViews>
    <sheetView tabSelected="1" topLeftCell="I1" workbookViewId="0">
      <selection activeCell="N4" sqref="N4"/>
    </sheetView>
  </sheetViews>
  <sheetFormatPr defaultRowHeight="14.4" x14ac:dyDescent="0.3"/>
  <cols>
    <col min="1" max="1" width="17" customWidth="1"/>
    <col min="2" max="2" width="14" customWidth="1"/>
    <col min="3" max="3" width="7" customWidth="1"/>
    <col min="4" max="4" width="10" customWidth="1"/>
    <col min="5" max="5" width="8" customWidth="1"/>
    <col min="6" max="6" width="48" customWidth="1"/>
    <col min="7" max="7" width="11" customWidth="1"/>
    <col min="8" max="8" width="18" customWidth="1"/>
    <col min="9" max="9" width="20" customWidth="1"/>
    <col min="10" max="10" width="18" customWidth="1"/>
    <col min="11" max="11" width="19" customWidth="1"/>
    <col min="12" max="12" width="20" customWidth="1"/>
    <col min="13" max="13" width="28" customWidth="1"/>
    <col min="14" max="14" width="32" customWidth="1"/>
    <col min="15" max="15" width="18" customWidth="1"/>
    <col min="16" max="16" width="21" customWidth="1"/>
    <col min="17" max="17" width="12" customWidth="1"/>
    <col min="18" max="18" width="21" customWidth="1"/>
    <col min="19" max="19" width="15" customWidth="1"/>
    <col min="20" max="20" width="42" customWidth="1"/>
    <col min="21" max="21" width="12" customWidth="1"/>
    <col min="22" max="22" width="17" customWidth="1"/>
    <col min="23" max="23" width="22" customWidth="1"/>
    <col min="24" max="24" width="16" customWidth="1"/>
    <col min="25" max="25" width="23" customWidth="1"/>
    <col min="26" max="26" width="27" customWidth="1"/>
    <col min="27" max="27" width="23" customWidth="1"/>
    <col min="28" max="28" width="15" customWidth="1"/>
    <col min="29" max="29" width="29" customWidth="1"/>
    <col min="30" max="30" width="22" customWidth="1"/>
    <col min="31" max="32" width="19" customWidth="1"/>
    <col min="33" max="33" width="18" customWidth="1"/>
    <col min="34" max="34" width="24" customWidth="1"/>
    <col min="35" max="35" width="22" customWidth="1"/>
    <col min="36" max="36" width="20" customWidth="1"/>
    <col min="37" max="37" width="15" customWidth="1"/>
    <col min="38" max="38" width="14" customWidth="1"/>
    <col min="39" max="39" width="21" customWidth="1"/>
    <col min="40" max="41" width="20" customWidth="1"/>
    <col min="42" max="42" width="23" customWidth="1"/>
    <col min="43" max="43" width="32" customWidth="1"/>
    <col min="44" max="44" width="22" customWidth="1"/>
    <col min="45" max="45" width="28" customWidth="1"/>
    <col min="46" max="46" width="22" customWidth="1"/>
    <col min="47" max="47" width="15" customWidth="1"/>
  </cols>
  <sheetData>
    <row r="1" spans="1:47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 t="s">
        <v>1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</row>
    <row r="2" spans="1:47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18</v>
      </c>
    </row>
    <row r="3" spans="1:47" x14ac:dyDescent="0.3">
      <c r="A3" t="s">
        <v>48</v>
      </c>
      <c r="B3" t="s">
        <v>49</v>
      </c>
      <c r="C3" t="s">
        <v>50</v>
      </c>
      <c r="D3" t="s">
        <v>50</v>
      </c>
      <c r="E3" t="s">
        <v>50</v>
      </c>
      <c r="F3" t="str">
        <f>CONCATENATE("HZB_",B3,"_",C3,"_",D3,"_C-",E3)</f>
        <v>HZB_FiNa_1_1_C-1</v>
      </c>
      <c r="G3" t="s">
        <v>51</v>
      </c>
      <c r="H3" t="s">
        <v>52</v>
      </c>
      <c r="I3" t="s">
        <v>110</v>
      </c>
      <c r="J3">
        <v>6</v>
      </c>
      <c r="K3" t="s">
        <v>110</v>
      </c>
      <c r="L3" t="s">
        <v>53</v>
      </c>
      <c r="M3" t="s">
        <v>54</v>
      </c>
      <c r="N3">
        <v>15</v>
      </c>
      <c r="O3">
        <v>90</v>
      </c>
      <c r="P3">
        <v>1</v>
      </c>
      <c r="Q3" t="s">
        <v>55</v>
      </c>
      <c r="R3" t="s">
        <v>56</v>
      </c>
      <c r="S3" t="s">
        <v>57</v>
      </c>
      <c r="T3" t="s">
        <v>58</v>
      </c>
      <c r="U3" t="s">
        <v>59</v>
      </c>
      <c r="V3" t="s">
        <v>60</v>
      </c>
      <c r="W3">
        <v>100</v>
      </c>
      <c r="X3" t="s">
        <v>61</v>
      </c>
      <c r="Y3">
        <v>10</v>
      </c>
      <c r="Z3" t="s">
        <v>147</v>
      </c>
      <c r="AA3" t="s">
        <v>62</v>
      </c>
      <c r="AB3" t="s">
        <v>63</v>
      </c>
      <c r="AC3" t="s">
        <v>152</v>
      </c>
      <c r="AD3" t="s">
        <v>64</v>
      </c>
      <c r="AE3">
        <v>120</v>
      </c>
      <c r="AF3">
        <v>45</v>
      </c>
      <c r="AG3">
        <v>1</v>
      </c>
      <c r="AH3">
        <v>72</v>
      </c>
      <c r="AI3">
        <v>100</v>
      </c>
      <c r="AJ3">
        <v>25</v>
      </c>
      <c r="AK3" t="s">
        <v>326</v>
      </c>
      <c r="AL3">
        <v>15</v>
      </c>
      <c r="AM3">
        <v>45</v>
      </c>
      <c r="AN3" t="s">
        <v>158</v>
      </c>
      <c r="AO3">
        <v>2</v>
      </c>
      <c r="AP3">
        <v>30</v>
      </c>
      <c r="AQ3">
        <v>25</v>
      </c>
      <c r="AR3">
        <v>30</v>
      </c>
      <c r="AS3">
        <v>120</v>
      </c>
      <c r="AT3" t="s">
        <v>65</v>
      </c>
      <c r="AU3" t="s">
        <v>66</v>
      </c>
    </row>
  </sheetData>
  <mergeCells count="2">
    <mergeCell ref="A1:Q1"/>
    <mergeCell ref="R1:AU1"/>
  </mergeCells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8"/>
  <sheetViews>
    <sheetView workbookViewId="0"/>
  </sheetViews>
  <sheetFormatPr defaultRowHeight="14.4" x14ac:dyDescent="0.3"/>
  <cols>
    <col min="1" max="5" width="28" customWidth="1"/>
  </cols>
  <sheetData>
    <row r="1" spans="1:1" x14ac:dyDescent="0.3">
      <c r="A1" t="s">
        <v>67</v>
      </c>
    </row>
    <row r="2" spans="1:1" x14ac:dyDescent="0.3">
      <c r="A2" t="s">
        <v>68</v>
      </c>
    </row>
    <row r="4" spans="1:1" x14ac:dyDescent="0.3">
      <c r="A4" t="s">
        <v>69</v>
      </c>
    </row>
    <row r="5" spans="1:1" x14ac:dyDescent="0.3">
      <c r="A5" t="s">
        <v>70</v>
      </c>
    </row>
    <row r="6" spans="1:1" x14ac:dyDescent="0.3">
      <c r="A6" t="s">
        <v>71</v>
      </c>
    </row>
    <row r="7" spans="1:1" x14ac:dyDescent="0.3">
      <c r="A7" t="s">
        <v>72</v>
      </c>
    </row>
    <row r="8" spans="1:1" x14ac:dyDescent="0.3">
      <c r="A8" t="s">
        <v>73</v>
      </c>
    </row>
    <row r="9" spans="1:1" x14ac:dyDescent="0.3">
      <c r="A9" t="s">
        <v>74</v>
      </c>
    </row>
    <row r="11" spans="1:1" x14ac:dyDescent="0.3">
      <c r="A11" t="s">
        <v>75</v>
      </c>
    </row>
    <row r="12" spans="1:1" x14ac:dyDescent="0.3">
      <c r="A12" t="s">
        <v>76</v>
      </c>
    </row>
    <row r="13" spans="1:1" x14ac:dyDescent="0.3">
      <c r="A13" t="s">
        <v>77</v>
      </c>
    </row>
    <row r="14" spans="1:1" x14ac:dyDescent="0.3">
      <c r="A14" t="s">
        <v>78</v>
      </c>
    </row>
    <row r="15" spans="1:1" x14ac:dyDescent="0.3">
      <c r="A15" t="s">
        <v>79</v>
      </c>
    </row>
    <row r="17" spans="1:5" x14ac:dyDescent="0.3">
      <c r="A17" t="s">
        <v>80</v>
      </c>
    </row>
    <row r="18" spans="1:5" x14ac:dyDescent="0.3">
      <c r="A18" t="s">
        <v>81</v>
      </c>
    </row>
    <row r="20" spans="1:5" x14ac:dyDescent="0.3">
      <c r="A20" t="s">
        <v>0</v>
      </c>
    </row>
    <row r="21" spans="1:5" x14ac:dyDescent="0.3">
      <c r="A21" t="s">
        <v>82</v>
      </c>
      <c r="B21" t="s">
        <v>83</v>
      </c>
      <c r="C21" t="s">
        <v>84</v>
      </c>
      <c r="D21" t="s">
        <v>85</v>
      </c>
      <c r="E21" t="s">
        <v>86</v>
      </c>
    </row>
    <row r="22" spans="1:5" x14ac:dyDescent="0.3">
      <c r="A22" t="s">
        <v>87</v>
      </c>
      <c r="B22" t="s">
        <v>88</v>
      </c>
      <c r="C22" t="s">
        <v>89</v>
      </c>
      <c r="D22" t="s">
        <v>89</v>
      </c>
      <c r="E22" t="s">
        <v>56</v>
      </c>
    </row>
    <row r="23" spans="1:5" x14ac:dyDescent="0.3">
      <c r="A23" t="s">
        <v>20</v>
      </c>
      <c r="B23" t="s">
        <v>90</v>
      </c>
      <c r="C23" t="s">
        <v>91</v>
      </c>
      <c r="E23" t="s">
        <v>92</v>
      </c>
    </row>
    <row r="24" spans="1:5" x14ac:dyDescent="0.3">
      <c r="A24" t="s">
        <v>2</v>
      </c>
      <c r="B24" t="s">
        <v>93</v>
      </c>
      <c r="C24" t="s">
        <v>94</v>
      </c>
      <c r="E24" t="s">
        <v>48</v>
      </c>
    </row>
    <row r="25" spans="1:5" x14ac:dyDescent="0.3">
      <c r="A25" t="s">
        <v>3</v>
      </c>
      <c r="B25" t="s">
        <v>95</v>
      </c>
      <c r="C25" t="s">
        <v>91</v>
      </c>
      <c r="E25" t="s">
        <v>49</v>
      </c>
    </row>
    <row r="26" spans="1:5" x14ac:dyDescent="0.3">
      <c r="A26" t="s">
        <v>4</v>
      </c>
      <c r="B26" t="s">
        <v>96</v>
      </c>
      <c r="C26" t="s">
        <v>97</v>
      </c>
      <c r="E26" t="s">
        <v>50</v>
      </c>
    </row>
    <row r="27" spans="1:5" x14ac:dyDescent="0.3">
      <c r="A27" t="s">
        <v>5</v>
      </c>
      <c r="B27" t="s">
        <v>98</v>
      </c>
      <c r="C27" t="s">
        <v>97</v>
      </c>
      <c r="E27" t="s">
        <v>99</v>
      </c>
    </row>
    <row r="28" spans="1:5" x14ac:dyDescent="0.3">
      <c r="A28" t="s">
        <v>6</v>
      </c>
      <c r="B28" t="s">
        <v>100</v>
      </c>
      <c r="C28" t="s">
        <v>97</v>
      </c>
      <c r="E28" t="s">
        <v>50</v>
      </c>
    </row>
    <row r="29" spans="1:5" x14ac:dyDescent="0.3">
      <c r="A29" t="s">
        <v>7</v>
      </c>
      <c r="B29" t="s">
        <v>101</v>
      </c>
      <c r="C29" t="s">
        <v>102</v>
      </c>
    </row>
    <row r="30" spans="1:5" x14ac:dyDescent="0.3">
      <c r="A30" t="s">
        <v>8</v>
      </c>
      <c r="B30" t="s">
        <v>103</v>
      </c>
      <c r="C30" t="s">
        <v>102</v>
      </c>
      <c r="E30" t="s">
        <v>51</v>
      </c>
    </row>
    <row r="31" spans="1:5" x14ac:dyDescent="0.3">
      <c r="A31" t="s">
        <v>104</v>
      </c>
      <c r="B31" t="s">
        <v>105</v>
      </c>
      <c r="C31" t="s">
        <v>97</v>
      </c>
      <c r="D31" t="s">
        <v>106</v>
      </c>
      <c r="E31" t="s">
        <v>52</v>
      </c>
    </row>
    <row r="32" spans="1:5" x14ac:dyDescent="0.3">
      <c r="A32" t="s">
        <v>107</v>
      </c>
      <c r="B32" t="s">
        <v>108</v>
      </c>
      <c r="C32" t="s">
        <v>97</v>
      </c>
      <c r="D32" t="s">
        <v>109</v>
      </c>
      <c r="E32" t="s">
        <v>110</v>
      </c>
    </row>
    <row r="33" spans="1:5" x14ac:dyDescent="0.3">
      <c r="A33" t="s">
        <v>11</v>
      </c>
      <c r="B33" t="s">
        <v>11</v>
      </c>
      <c r="C33" t="s">
        <v>97</v>
      </c>
      <c r="E33" t="s">
        <v>111</v>
      </c>
    </row>
    <row r="34" spans="1:5" x14ac:dyDescent="0.3">
      <c r="A34" t="s">
        <v>112</v>
      </c>
      <c r="B34" t="s">
        <v>113</v>
      </c>
      <c r="C34" t="s">
        <v>97</v>
      </c>
      <c r="D34" t="s">
        <v>109</v>
      </c>
      <c r="E34" t="s">
        <v>110</v>
      </c>
    </row>
    <row r="35" spans="1:5" x14ac:dyDescent="0.3">
      <c r="A35" t="s">
        <v>114</v>
      </c>
      <c r="B35" t="s">
        <v>13</v>
      </c>
      <c r="C35" t="s">
        <v>102</v>
      </c>
      <c r="E35" t="s">
        <v>53</v>
      </c>
    </row>
    <row r="36" spans="1:5" x14ac:dyDescent="0.3">
      <c r="A36" t="s">
        <v>115</v>
      </c>
      <c r="B36" t="s">
        <v>116</v>
      </c>
      <c r="C36" t="s">
        <v>102</v>
      </c>
      <c r="E36" t="s">
        <v>54</v>
      </c>
    </row>
    <row r="37" spans="1:5" x14ac:dyDescent="0.3">
      <c r="A37" t="s">
        <v>117</v>
      </c>
      <c r="B37" t="s">
        <v>17</v>
      </c>
      <c r="C37" t="s">
        <v>97</v>
      </c>
      <c r="E37" t="s">
        <v>50</v>
      </c>
    </row>
    <row r="38" spans="1:5" x14ac:dyDescent="0.3">
      <c r="A38" t="s">
        <v>18</v>
      </c>
      <c r="B38" t="s">
        <v>118</v>
      </c>
      <c r="C38" t="s">
        <v>102</v>
      </c>
    </row>
    <row r="40" spans="1:5" x14ac:dyDescent="0.3">
      <c r="A40" t="s">
        <v>119</v>
      </c>
    </row>
    <row r="41" spans="1:5" x14ac:dyDescent="0.3">
      <c r="A41" t="s">
        <v>82</v>
      </c>
      <c r="B41" t="s">
        <v>83</v>
      </c>
      <c r="C41" t="s">
        <v>84</v>
      </c>
      <c r="D41" t="s">
        <v>85</v>
      </c>
      <c r="E41" t="s">
        <v>86</v>
      </c>
    </row>
    <row r="42" spans="1:5" x14ac:dyDescent="0.3">
      <c r="A42" t="s">
        <v>87</v>
      </c>
      <c r="B42" t="s">
        <v>88</v>
      </c>
      <c r="C42" t="s">
        <v>89</v>
      </c>
      <c r="D42" t="s">
        <v>89</v>
      </c>
      <c r="E42" t="s">
        <v>56</v>
      </c>
    </row>
    <row r="43" spans="1:5" x14ac:dyDescent="0.3">
      <c r="A43" t="s">
        <v>20</v>
      </c>
      <c r="B43" t="s">
        <v>90</v>
      </c>
      <c r="C43" t="s">
        <v>91</v>
      </c>
      <c r="E43" t="s">
        <v>92</v>
      </c>
    </row>
    <row r="44" spans="1:5" x14ac:dyDescent="0.3">
      <c r="A44" t="s">
        <v>120</v>
      </c>
      <c r="B44" t="s">
        <v>121</v>
      </c>
      <c r="C44" t="s">
        <v>91</v>
      </c>
      <c r="E44" t="s">
        <v>122</v>
      </c>
    </row>
    <row r="45" spans="1:5" x14ac:dyDescent="0.3">
      <c r="A45" t="s">
        <v>123</v>
      </c>
      <c r="B45" t="s">
        <v>124</v>
      </c>
      <c r="C45" t="s">
        <v>97</v>
      </c>
      <c r="D45" t="s">
        <v>125</v>
      </c>
      <c r="E45" t="s">
        <v>126</v>
      </c>
    </row>
    <row r="46" spans="1:5" x14ac:dyDescent="0.3">
      <c r="A46" t="s">
        <v>127</v>
      </c>
      <c r="B46" t="s">
        <v>128</v>
      </c>
      <c r="C46" t="s">
        <v>97</v>
      </c>
      <c r="D46" t="s">
        <v>129</v>
      </c>
      <c r="E46" t="s">
        <v>130</v>
      </c>
    </row>
    <row r="47" spans="1:5" x14ac:dyDescent="0.3">
      <c r="A47" t="s">
        <v>131</v>
      </c>
      <c r="B47" t="s">
        <v>132</v>
      </c>
      <c r="C47" t="s">
        <v>97</v>
      </c>
      <c r="D47" t="s">
        <v>125</v>
      </c>
      <c r="E47" t="s">
        <v>133</v>
      </c>
    </row>
    <row r="49" spans="1:5" x14ac:dyDescent="0.3">
      <c r="A49" t="s">
        <v>134</v>
      </c>
    </row>
    <row r="50" spans="1:5" x14ac:dyDescent="0.3">
      <c r="A50" t="s">
        <v>82</v>
      </c>
      <c r="B50" t="s">
        <v>83</v>
      </c>
      <c r="C50" t="s">
        <v>84</v>
      </c>
      <c r="D50" t="s">
        <v>85</v>
      </c>
      <c r="E50" t="s">
        <v>86</v>
      </c>
    </row>
    <row r="51" spans="1:5" x14ac:dyDescent="0.3">
      <c r="A51" t="s">
        <v>87</v>
      </c>
      <c r="B51" t="s">
        <v>88</v>
      </c>
      <c r="C51" t="s">
        <v>89</v>
      </c>
      <c r="D51" t="s">
        <v>89</v>
      </c>
      <c r="E51" t="s">
        <v>56</v>
      </c>
    </row>
    <row r="52" spans="1:5" x14ac:dyDescent="0.3">
      <c r="A52" t="s">
        <v>20</v>
      </c>
      <c r="B52" t="s">
        <v>90</v>
      </c>
      <c r="C52" t="s">
        <v>91</v>
      </c>
      <c r="E52" t="s">
        <v>92</v>
      </c>
    </row>
    <row r="53" spans="1:5" x14ac:dyDescent="0.3">
      <c r="A53" t="s">
        <v>135</v>
      </c>
      <c r="B53" t="s">
        <v>136</v>
      </c>
      <c r="C53" t="s">
        <v>102</v>
      </c>
      <c r="E53" t="s">
        <v>58</v>
      </c>
    </row>
    <row r="54" spans="1:5" x14ac:dyDescent="0.3">
      <c r="A54" t="s">
        <v>137</v>
      </c>
      <c r="B54" t="s">
        <v>138</v>
      </c>
      <c r="C54" t="s">
        <v>91</v>
      </c>
      <c r="E54" t="s">
        <v>59</v>
      </c>
    </row>
    <row r="55" spans="1:5" x14ac:dyDescent="0.3">
      <c r="A55" t="s">
        <v>23</v>
      </c>
      <c r="B55" t="s">
        <v>139</v>
      </c>
      <c r="C55" t="s">
        <v>91</v>
      </c>
      <c r="E55" t="s">
        <v>60</v>
      </c>
    </row>
    <row r="56" spans="1:5" x14ac:dyDescent="0.3">
      <c r="A56" t="s">
        <v>25</v>
      </c>
      <c r="B56" t="s">
        <v>140</v>
      </c>
      <c r="C56" t="s">
        <v>91</v>
      </c>
      <c r="E56" t="s">
        <v>61</v>
      </c>
    </row>
    <row r="57" spans="1:5" x14ac:dyDescent="0.3">
      <c r="A57" t="s">
        <v>141</v>
      </c>
      <c r="B57" t="s">
        <v>142</v>
      </c>
      <c r="C57" t="s">
        <v>97</v>
      </c>
      <c r="D57" t="s">
        <v>143</v>
      </c>
      <c r="E57" t="s">
        <v>144</v>
      </c>
    </row>
    <row r="58" spans="1:5" x14ac:dyDescent="0.3">
      <c r="A58" t="s">
        <v>145</v>
      </c>
      <c r="B58" t="s">
        <v>146</v>
      </c>
      <c r="C58" t="s">
        <v>97</v>
      </c>
      <c r="E58" t="s">
        <v>147</v>
      </c>
    </row>
    <row r="59" spans="1:5" x14ac:dyDescent="0.3">
      <c r="A59" t="s">
        <v>29</v>
      </c>
      <c r="B59" t="s">
        <v>148</v>
      </c>
      <c r="C59" t="s">
        <v>91</v>
      </c>
      <c r="E59" t="s">
        <v>63</v>
      </c>
    </row>
    <row r="60" spans="1:5" x14ac:dyDescent="0.3">
      <c r="A60" t="s">
        <v>149</v>
      </c>
      <c r="B60" t="s">
        <v>150</v>
      </c>
      <c r="C60" t="s">
        <v>97</v>
      </c>
      <c r="D60" t="s">
        <v>151</v>
      </c>
      <c r="E60" t="s">
        <v>152</v>
      </c>
    </row>
    <row r="61" spans="1:5" x14ac:dyDescent="0.3">
      <c r="A61" t="s">
        <v>153</v>
      </c>
      <c r="B61" t="s">
        <v>154</v>
      </c>
      <c r="C61" t="s">
        <v>97</v>
      </c>
      <c r="D61" t="s">
        <v>143</v>
      </c>
      <c r="E61" t="s">
        <v>155</v>
      </c>
    </row>
    <row r="62" spans="1:5" x14ac:dyDescent="0.3">
      <c r="A62" t="s">
        <v>156</v>
      </c>
      <c r="B62" t="s">
        <v>157</v>
      </c>
      <c r="C62" t="s">
        <v>97</v>
      </c>
      <c r="D62" t="s">
        <v>125</v>
      </c>
      <c r="E62" t="s">
        <v>158</v>
      </c>
    </row>
    <row r="63" spans="1:5" x14ac:dyDescent="0.3">
      <c r="A63" t="s">
        <v>159</v>
      </c>
      <c r="B63" t="s">
        <v>160</v>
      </c>
      <c r="C63" t="s">
        <v>97</v>
      </c>
      <c r="D63" t="s">
        <v>161</v>
      </c>
      <c r="E63" t="s">
        <v>162</v>
      </c>
    </row>
    <row r="64" spans="1:5" x14ac:dyDescent="0.3">
      <c r="A64" t="s">
        <v>163</v>
      </c>
      <c r="B64" t="s">
        <v>164</v>
      </c>
      <c r="C64" t="s">
        <v>97</v>
      </c>
      <c r="D64" t="s">
        <v>125</v>
      </c>
      <c r="E64" t="s">
        <v>126</v>
      </c>
    </row>
    <row r="65" spans="1:5" x14ac:dyDescent="0.3">
      <c r="A65" t="s">
        <v>165</v>
      </c>
      <c r="B65" t="s">
        <v>166</v>
      </c>
      <c r="C65" t="s">
        <v>97</v>
      </c>
      <c r="D65" t="s">
        <v>167</v>
      </c>
      <c r="E65" t="s">
        <v>168</v>
      </c>
    </row>
    <row r="66" spans="1:5" x14ac:dyDescent="0.3">
      <c r="A66" t="s">
        <v>169</v>
      </c>
      <c r="B66" t="s">
        <v>170</v>
      </c>
      <c r="C66" t="s">
        <v>97</v>
      </c>
      <c r="D66" t="s">
        <v>161</v>
      </c>
      <c r="E66" t="s">
        <v>171</v>
      </c>
    </row>
    <row r="67" spans="1:5" x14ac:dyDescent="0.3">
      <c r="A67" t="s">
        <v>172</v>
      </c>
      <c r="B67" t="s">
        <v>173</v>
      </c>
      <c r="C67" t="s">
        <v>97</v>
      </c>
      <c r="D67" t="s">
        <v>125</v>
      </c>
      <c r="E67" t="s">
        <v>174</v>
      </c>
    </row>
    <row r="68" spans="1:5" x14ac:dyDescent="0.3">
      <c r="A68" t="s">
        <v>175</v>
      </c>
      <c r="B68" t="s">
        <v>176</v>
      </c>
      <c r="C68" t="s">
        <v>97</v>
      </c>
      <c r="D68" t="s">
        <v>167</v>
      </c>
      <c r="E68" t="s">
        <v>177</v>
      </c>
    </row>
    <row r="69" spans="1:5" x14ac:dyDescent="0.3">
      <c r="A69" t="s">
        <v>178</v>
      </c>
      <c r="B69" t="s">
        <v>179</v>
      </c>
      <c r="C69" t="s">
        <v>97</v>
      </c>
      <c r="D69" t="s">
        <v>180</v>
      </c>
      <c r="E69" t="s">
        <v>181</v>
      </c>
    </row>
    <row r="70" spans="1:5" x14ac:dyDescent="0.3">
      <c r="A70" t="s">
        <v>182</v>
      </c>
      <c r="B70" t="s">
        <v>183</v>
      </c>
      <c r="C70" t="s">
        <v>97</v>
      </c>
      <c r="D70" t="s">
        <v>129</v>
      </c>
      <c r="E70" t="s">
        <v>184</v>
      </c>
    </row>
    <row r="71" spans="1:5" x14ac:dyDescent="0.3">
      <c r="A71" t="s">
        <v>185</v>
      </c>
      <c r="B71" t="s">
        <v>47</v>
      </c>
      <c r="C71" t="s">
        <v>91</v>
      </c>
      <c r="E71" t="s">
        <v>65</v>
      </c>
    </row>
    <row r="72" spans="1:5" x14ac:dyDescent="0.3">
      <c r="A72" t="s">
        <v>18</v>
      </c>
      <c r="B72" t="s">
        <v>186</v>
      </c>
      <c r="C72" t="s">
        <v>102</v>
      </c>
    </row>
    <row r="74" spans="1:5" x14ac:dyDescent="0.3">
      <c r="A74" t="s">
        <v>187</v>
      </c>
    </row>
    <row r="75" spans="1:5" x14ac:dyDescent="0.3">
      <c r="A75" t="s">
        <v>82</v>
      </c>
      <c r="B75" t="s">
        <v>83</v>
      </c>
      <c r="C75" t="s">
        <v>84</v>
      </c>
      <c r="D75" t="s">
        <v>85</v>
      </c>
      <c r="E75" t="s">
        <v>86</v>
      </c>
    </row>
    <row r="76" spans="1:5" x14ac:dyDescent="0.3">
      <c r="A76" t="s">
        <v>87</v>
      </c>
      <c r="B76" t="s">
        <v>88</v>
      </c>
      <c r="C76" t="s">
        <v>89</v>
      </c>
      <c r="D76" t="s">
        <v>89</v>
      </c>
      <c r="E76" t="s">
        <v>56</v>
      </c>
    </row>
    <row r="77" spans="1:5" x14ac:dyDescent="0.3">
      <c r="A77" t="s">
        <v>20</v>
      </c>
      <c r="B77" t="s">
        <v>90</v>
      </c>
      <c r="C77" t="s">
        <v>91</v>
      </c>
      <c r="E77" t="s">
        <v>92</v>
      </c>
    </row>
    <row r="78" spans="1:5" x14ac:dyDescent="0.3">
      <c r="A78" t="s">
        <v>135</v>
      </c>
      <c r="B78" t="s">
        <v>188</v>
      </c>
      <c r="C78" t="s">
        <v>102</v>
      </c>
      <c r="E78" t="s">
        <v>189</v>
      </c>
    </row>
    <row r="79" spans="1:5" x14ac:dyDescent="0.3">
      <c r="A79" t="s">
        <v>137</v>
      </c>
      <c r="B79" t="s">
        <v>138</v>
      </c>
      <c r="C79" t="s">
        <v>91</v>
      </c>
      <c r="E79" t="s">
        <v>190</v>
      </c>
    </row>
    <row r="80" spans="1:5" x14ac:dyDescent="0.3">
      <c r="A80" t="s">
        <v>23</v>
      </c>
      <c r="B80" t="s">
        <v>139</v>
      </c>
      <c r="C80" t="s">
        <v>91</v>
      </c>
      <c r="E80" t="s">
        <v>191</v>
      </c>
    </row>
    <row r="81" spans="1:5" x14ac:dyDescent="0.3">
      <c r="A81" t="s">
        <v>192</v>
      </c>
      <c r="B81" t="s">
        <v>193</v>
      </c>
      <c r="C81" t="s">
        <v>194</v>
      </c>
      <c r="E81" t="s">
        <v>195</v>
      </c>
    </row>
    <row r="82" spans="1:5" x14ac:dyDescent="0.3">
      <c r="A82" t="s">
        <v>196</v>
      </c>
      <c r="B82" t="s">
        <v>197</v>
      </c>
      <c r="C82" t="s">
        <v>97</v>
      </c>
      <c r="D82" t="s">
        <v>106</v>
      </c>
      <c r="E82" t="s">
        <v>198</v>
      </c>
    </row>
    <row r="83" spans="1:5" x14ac:dyDescent="0.3">
      <c r="A83" t="s">
        <v>199</v>
      </c>
      <c r="B83" t="s">
        <v>200</v>
      </c>
      <c r="C83" t="s">
        <v>97</v>
      </c>
      <c r="D83" t="s">
        <v>201</v>
      </c>
      <c r="E83" t="s">
        <v>202</v>
      </c>
    </row>
    <row r="84" spans="1:5" x14ac:dyDescent="0.3">
      <c r="A84" t="s">
        <v>203</v>
      </c>
      <c r="B84" t="s">
        <v>204</v>
      </c>
      <c r="C84" t="s">
        <v>97</v>
      </c>
      <c r="D84" t="s">
        <v>201</v>
      </c>
      <c r="E84" t="s">
        <v>205</v>
      </c>
    </row>
    <row r="85" spans="1:5" x14ac:dyDescent="0.3">
      <c r="A85" t="s">
        <v>206</v>
      </c>
      <c r="B85" t="s">
        <v>207</v>
      </c>
      <c r="C85" t="s">
        <v>97</v>
      </c>
      <c r="D85" t="s">
        <v>201</v>
      </c>
      <c r="E85" t="s">
        <v>208</v>
      </c>
    </row>
    <row r="86" spans="1:5" x14ac:dyDescent="0.3">
      <c r="A86" t="s">
        <v>209</v>
      </c>
      <c r="B86" t="s">
        <v>210</v>
      </c>
      <c r="C86" t="s">
        <v>97</v>
      </c>
      <c r="D86" t="s">
        <v>129</v>
      </c>
      <c r="E86" t="s">
        <v>211</v>
      </c>
    </row>
    <row r="87" spans="1:5" x14ac:dyDescent="0.3">
      <c r="A87" t="s">
        <v>212</v>
      </c>
      <c r="B87" t="s">
        <v>213</v>
      </c>
      <c r="C87" t="s">
        <v>97</v>
      </c>
      <c r="D87" t="s">
        <v>129</v>
      </c>
      <c r="E87" t="s">
        <v>211</v>
      </c>
    </row>
    <row r="88" spans="1:5" x14ac:dyDescent="0.3">
      <c r="A88" t="s">
        <v>214</v>
      </c>
      <c r="B88" t="s">
        <v>215</v>
      </c>
      <c r="C88" t="s">
        <v>97</v>
      </c>
      <c r="D88" t="s">
        <v>129</v>
      </c>
      <c r="E88" t="s">
        <v>216</v>
      </c>
    </row>
    <row r="89" spans="1:5" x14ac:dyDescent="0.3">
      <c r="A89" t="s">
        <v>217</v>
      </c>
      <c r="B89" t="s">
        <v>218</v>
      </c>
      <c r="C89" t="s">
        <v>97</v>
      </c>
      <c r="D89" t="s">
        <v>219</v>
      </c>
      <c r="E89" t="s">
        <v>155</v>
      </c>
    </row>
    <row r="90" spans="1:5" x14ac:dyDescent="0.3">
      <c r="A90" t="s">
        <v>220</v>
      </c>
      <c r="B90" t="s">
        <v>221</v>
      </c>
      <c r="C90" t="s">
        <v>97</v>
      </c>
      <c r="D90" t="s">
        <v>222</v>
      </c>
      <c r="E90" t="s">
        <v>158</v>
      </c>
    </row>
    <row r="91" spans="1:5" x14ac:dyDescent="0.3">
      <c r="A91" t="s">
        <v>223</v>
      </c>
      <c r="B91" t="s">
        <v>224</v>
      </c>
      <c r="C91" t="s">
        <v>97</v>
      </c>
      <c r="D91" t="s">
        <v>222</v>
      </c>
      <c r="E91" t="s">
        <v>50</v>
      </c>
    </row>
    <row r="92" spans="1:5" x14ac:dyDescent="0.3">
      <c r="A92" t="s">
        <v>225</v>
      </c>
      <c r="B92" t="s">
        <v>225</v>
      </c>
      <c r="C92" t="s">
        <v>97</v>
      </c>
      <c r="E92" t="s">
        <v>147</v>
      </c>
    </row>
    <row r="93" spans="1:5" x14ac:dyDescent="0.3">
      <c r="A93" t="s">
        <v>18</v>
      </c>
      <c r="B93" t="s">
        <v>186</v>
      </c>
      <c r="C93" t="s">
        <v>102</v>
      </c>
    </row>
    <row r="95" spans="1:5" x14ac:dyDescent="0.3">
      <c r="A95" t="s">
        <v>226</v>
      </c>
    </row>
    <row r="96" spans="1:5" x14ac:dyDescent="0.3">
      <c r="A96" t="s">
        <v>82</v>
      </c>
      <c r="B96" t="s">
        <v>83</v>
      </c>
      <c r="C96" t="s">
        <v>84</v>
      </c>
      <c r="D96" t="s">
        <v>85</v>
      </c>
      <c r="E96" t="s">
        <v>86</v>
      </c>
    </row>
    <row r="97" spans="1:5" x14ac:dyDescent="0.3">
      <c r="A97" t="s">
        <v>87</v>
      </c>
      <c r="B97" t="s">
        <v>88</v>
      </c>
      <c r="C97" t="s">
        <v>89</v>
      </c>
      <c r="D97" t="s">
        <v>89</v>
      </c>
      <c r="E97" t="s">
        <v>56</v>
      </c>
    </row>
    <row r="98" spans="1:5" x14ac:dyDescent="0.3">
      <c r="A98" t="s">
        <v>20</v>
      </c>
      <c r="B98" t="s">
        <v>90</v>
      </c>
      <c r="C98" t="s">
        <v>91</v>
      </c>
      <c r="E98" t="s">
        <v>92</v>
      </c>
    </row>
    <row r="99" spans="1:5" x14ac:dyDescent="0.3">
      <c r="A99" t="s">
        <v>135</v>
      </c>
      <c r="B99" t="s">
        <v>227</v>
      </c>
      <c r="C99" t="s">
        <v>102</v>
      </c>
      <c r="E99" t="s">
        <v>189</v>
      </c>
    </row>
    <row r="100" spans="1:5" x14ac:dyDescent="0.3">
      <c r="A100" t="s">
        <v>137</v>
      </c>
      <c r="B100" t="s">
        <v>138</v>
      </c>
      <c r="C100" t="s">
        <v>91</v>
      </c>
      <c r="E100" t="s">
        <v>190</v>
      </c>
    </row>
    <row r="101" spans="1:5" x14ac:dyDescent="0.3">
      <c r="A101" t="s">
        <v>23</v>
      </c>
      <c r="B101" t="s">
        <v>139</v>
      </c>
      <c r="C101" t="s">
        <v>91</v>
      </c>
      <c r="E101" t="s">
        <v>228</v>
      </c>
    </row>
    <row r="102" spans="1:5" x14ac:dyDescent="0.3">
      <c r="A102" t="s">
        <v>229</v>
      </c>
      <c r="B102" t="s">
        <v>230</v>
      </c>
      <c r="C102" t="s">
        <v>102</v>
      </c>
      <c r="E102" t="s">
        <v>231</v>
      </c>
    </row>
    <row r="103" spans="1:5" x14ac:dyDescent="0.3">
      <c r="A103" t="s">
        <v>217</v>
      </c>
      <c r="B103" t="s">
        <v>232</v>
      </c>
      <c r="C103" t="s">
        <v>97</v>
      </c>
      <c r="D103" t="s">
        <v>219</v>
      </c>
      <c r="E103" t="s">
        <v>216</v>
      </c>
    </row>
    <row r="104" spans="1:5" x14ac:dyDescent="0.3">
      <c r="A104" t="s">
        <v>127</v>
      </c>
      <c r="B104" t="s">
        <v>233</v>
      </c>
      <c r="C104" t="s">
        <v>97</v>
      </c>
      <c r="D104" t="s">
        <v>129</v>
      </c>
      <c r="E104" t="s">
        <v>211</v>
      </c>
    </row>
    <row r="105" spans="1:5" x14ac:dyDescent="0.3">
      <c r="A105" t="s">
        <v>234</v>
      </c>
      <c r="B105" t="s">
        <v>235</v>
      </c>
      <c r="C105" t="s">
        <v>97</v>
      </c>
      <c r="D105" t="s">
        <v>222</v>
      </c>
      <c r="E105" t="s">
        <v>236</v>
      </c>
    </row>
    <row r="106" spans="1:5" x14ac:dyDescent="0.3">
      <c r="A106" t="s">
        <v>123</v>
      </c>
      <c r="B106" t="s">
        <v>237</v>
      </c>
      <c r="C106" t="s">
        <v>97</v>
      </c>
      <c r="D106" t="s">
        <v>125</v>
      </c>
      <c r="E106" t="s">
        <v>238</v>
      </c>
    </row>
    <row r="107" spans="1:5" x14ac:dyDescent="0.3">
      <c r="A107" t="s">
        <v>239</v>
      </c>
      <c r="B107" t="s">
        <v>240</v>
      </c>
      <c r="C107" t="s">
        <v>97</v>
      </c>
      <c r="E107" t="s">
        <v>241</v>
      </c>
    </row>
    <row r="108" spans="1:5" x14ac:dyDescent="0.3">
      <c r="A108" t="s">
        <v>242</v>
      </c>
      <c r="B108" t="s">
        <v>243</v>
      </c>
      <c r="C108" t="s">
        <v>102</v>
      </c>
      <c r="E108" t="s">
        <v>231</v>
      </c>
    </row>
    <row r="109" spans="1:5" x14ac:dyDescent="0.3">
      <c r="A109" t="s">
        <v>244</v>
      </c>
      <c r="B109" t="s">
        <v>245</v>
      </c>
      <c r="C109" t="s">
        <v>97</v>
      </c>
      <c r="D109" t="s">
        <v>125</v>
      </c>
      <c r="E109" t="s">
        <v>246</v>
      </c>
    </row>
    <row r="110" spans="1:5" x14ac:dyDescent="0.3">
      <c r="A110" t="s">
        <v>247</v>
      </c>
      <c r="B110" t="s">
        <v>248</v>
      </c>
      <c r="C110" t="s">
        <v>97</v>
      </c>
      <c r="D110" t="s">
        <v>129</v>
      </c>
      <c r="E110" t="s">
        <v>249</v>
      </c>
    </row>
    <row r="111" spans="1:5" x14ac:dyDescent="0.3">
      <c r="A111" t="s">
        <v>250</v>
      </c>
      <c r="B111" t="s">
        <v>251</v>
      </c>
      <c r="C111" t="s">
        <v>97</v>
      </c>
      <c r="D111" t="s">
        <v>129</v>
      </c>
      <c r="E111" t="s">
        <v>216</v>
      </c>
    </row>
    <row r="112" spans="1:5" x14ac:dyDescent="0.3">
      <c r="A112" t="s">
        <v>252</v>
      </c>
      <c r="B112" t="s">
        <v>253</v>
      </c>
      <c r="C112" t="s">
        <v>102</v>
      </c>
      <c r="E112" t="s">
        <v>254</v>
      </c>
    </row>
    <row r="113" spans="1:5" x14ac:dyDescent="0.3">
      <c r="A113" t="s">
        <v>255</v>
      </c>
      <c r="B113" t="s">
        <v>256</v>
      </c>
      <c r="C113" t="s">
        <v>97</v>
      </c>
      <c r="D113" t="s">
        <v>125</v>
      </c>
      <c r="E113" t="s">
        <v>236</v>
      </c>
    </row>
    <row r="114" spans="1:5" x14ac:dyDescent="0.3">
      <c r="A114" t="s">
        <v>257</v>
      </c>
      <c r="B114" t="s">
        <v>258</v>
      </c>
      <c r="C114" t="s">
        <v>97</v>
      </c>
      <c r="D114" t="s">
        <v>129</v>
      </c>
      <c r="E114" t="s">
        <v>259</v>
      </c>
    </row>
    <row r="116" spans="1:5" x14ac:dyDescent="0.3">
      <c r="A116" t="s">
        <v>260</v>
      </c>
    </row>
    <row r="117" spans="1:5" x14ac:dyDescent="0.3">
      <c r="A117" t="s">
        <v>82</v>
      </c>
      <c r="B117" t="s">
        <v>83</v>
      </c>
      <c r="C117" t="s">
        <v>84</v>
      </c>
      <c r="D117" t="s">
        <v>85</v>
      </c>
      <c r="E117" t="s">
        <v>86</v>
      </c>
    </row>
    <row r="118" spans="1:5" x14ac:dyDescent="0.3">
      <c r="A118" t="s">
        <v>87</v>
      </c>
      <c r="B118" t="s">
        <v>88</v>
      </c>
      <c r="C118" t="s">
        <v>89</v>
      </c>
      <c r="D118" t="s">
        <v>89</v>
      </c>
      <c r="E118" t="s">
        <v>56</v>
      </c>
    </row>
    <row r="119" spans="1:5" x14ac:dyDescent="0.3">
      <c r="A119" t="s">
        <v>20</v>
      </c>
      <c r="B119" t="s">
        <v>90</v>
      </c>
      <c r="C119" t="s">
        <v>91</v>
      </c>
      <c r="E119" t="s">
        <v>92</v>
      </c>
    </row>
    <row r="120" spans="1:5" x14ac:dyDescent="0.3">
      <c r="A120" t="s">
        <v>135</v>
      </c>
      <c r="B120" t="s">
        <v>261</v>
      </c>
      <c r="C120" t="s">
        <v>102</v>
      </c>
      <c r="E120" t="s">
        <v>262</v>
      </c>
    </row>
    <row r="121" spans="1:5" x14ac:dyDescent="0.3">
      <c r="A121" t="s">
        <v>137</v>
      </c>
      <c r="B121" t="s">
        <v>138</v>
      </c>
      <c r="C121" t="s">
        <v>91</v>
      </c>
      <c r="E121" t="s">
        <v>190</v>
      </c>
    </row>
    <row r="122" spans="1:5" x14ac:dyDescent="0.3">
      <c r="A122" t="s">
        <v>23</v>
      </c>
      <c r="B122" t="s">
        <v>139</v>
      </c>
      <c r="C122" t="s">
        <v>91</v>
      </c>
      <c r="E122" t="s">
        <v>263</v>
      </c>
    </row>
    <row r="123" spans="1:5" x14ac:dyDescent="0.3">
      <c r="A123" t="s">
        <v>264</v>
      </c>
      <c r="B123" t="s">
        <v>265</v>
      </c>
      <c r="C123" t="s">
        <v>91</v>
      </c>
      <c r="E123" t="s">
        <v>266</v>
      </c>
    </row>
    <row r="124" spans="1:5" x14ac:dyDescent="0.3">
      <c r="A124" t="s">
        <v>127</v>
      </c>
      <c r="B124" t="s">
        <v>233</v>
      </c>
      <c r="C124" t="s">
        <v>97</v>
      </c>
      <c r="D124" t="s">
        <v>129</v>
      </c>
      <c r="E124" t="s">
        <v>211</v>
      </c>
    </row>
    <row r="125" spans="1:5" x14ac:dyDescent="0.3">
      <c r="A125" t="s">
        <v>267</v>
      </c>
      <c r="B125" t="s">
        <v>268</v>
      </c>
      <c r="C125" t="s">
        <v>97</v>
      </c>
      <c r="D125" t="s">
        <v>269</v>
      </c>
      <c r="E125" t="s">
        <v>270</v>
      </c>
    </row>
    <row r="126" spans="1:5" x14ac:dyDescent="0.3">
      <c r="A126" t="s">
        <v>271</v>
      </c>
      <c r="B126" t="s">
        <v>237</v>
      </c>
      <c r="C126" t="s">
        <v>97</v>
      </c>
      <c r="D126" t="s">
        <v>125</v>
      </c>
      <c r="E126" t="s">
        <v>272</v>
      </c>
    </row>
    <row r="127" spans="1:5" x14ac:dyDescent="0.3">
      <c r="A127" t="s">
        <v>273</v>
      </c>
      <c r="B127" t="s">
        <v>274</v>
      </c>
      <c r="C127" t="s">
        <v>97</v>
      </c>
      <c r="D127" t="s">
        <v>125</v>
      </c>
      <c r="E127" t="s">
        <v>275</v>
      </c>
    </row>
    <row r="128" spans="1:5" x14ac:dyDescent="0.3">
      <c r="A128" t="s">
        <v>276</v>
      </c>
      <c r="B128" t="s">
        <v>277</v>
      </c>
      <c r="C128" t="s">
        <v>97</v>
      </c>
      <c r="D128" t="s">
        <v>278</v>
      </c>
      <c r="E128" t="s">
        <v>211</v>
      </c>
    </row>
    <row r="129" spans="1:5" x14ac:dyDescent="0.3">
      <c r="A129" t="s">
        <v>279</v>
      </c>
      <c r="B129" t="s">
        <v>280</v>
      </c>
      <c r="C129" t="s">
        <v>97</v>
      </c>
      <c r="D129" t="s">
        <v>161</v>
      </c>
      <c r="E129" t="s">
        <v>181</v>
      </c>
    </row>
    <row r="130" spans="1:5" x14ac:dyDescent="0.3">
      <c r="A130" t="s">
        <v>217</v>
      </c>
      <c r="B130" t="s">
        <v>232</v>
      </c>
      <c r="C130" t="s">
        <v>97</v>
      </c>
      <c r="D130" t="s">
        <v>219</v>
      </c>
      <c r="E130" t="s">
        <v>281</v>
      </c>
    </row>
    <row r="131" spans="1:5" x14ac:dyDescent="0.3">
      <c r="A131" t="s">
        <v>282</v>
      </c>
      <c r="B131" t="s">
        <v>282</v>
      </c>
      <c r="C131" t="s">
        <v>97</v>
      </c>
      <c r="D131" t="s">
        <v>283</v>
      </c>
      <c r="E131" t="s">
        <v>284</v>
      </c>
    </row>
    <row r="132" spans="1:5" x14ac:dyDescent="0.3">
      <c r="A132" t="s">
        <v>18</v>
      </c>
      <c r="B132" t="s">
        <v>186</v>
      </c>
      <c r="C132" t="s">
        <v>102</v>
      </c>
    </row>
    <row r="134" spans="1:5" x14ac:dyDescent="0.3">
      <c r="A134" t="s">
        <v>285</v>
      </c>
    </row>
    <row r="135" spans="1:5" x14ac:dyDescent="0.3">
      <c r="A135" t="s">
        <v>82</v>
      </c>
      <c r="B135" t="s">
        <v>83</v>
      </c>
      <c r="C135" t="s">
        <v>84</v>
      </c>
      <c r="D135" t="s">
        <v>85</v>
      </c>
      <c r="E135" t="s">
        <v>86</v>
      </c>
    </row>
    <row r="136" spans="1:5" x14ac:dyDescent="0.3">
      <c r="A136" t="s">
        <v>87</v>
      </c>
      <c r="B136" t="s">
        <v>88</v>
      </c>
      <c r="C136" t="s">
        <v>89</v>
      </c>
      <c r="D136" t="s">
        <v>89</v>
      </c>
      <c r="E136" t="s">
        <v>56</v>
      </c>
    </row>
    <row r="137" spans="1:5" x14ac:dyDescent="0.3">
      <c r="A137" t="s">
        <v>20</v>
      </c>
      <c r="B137" t="s">
        <v>90</v>
      </c>
      <c r="C137" t="s">
        <v>91</v>
      </c>
      <c r="E137" t="s">
        <v>92</v>
      </c>
    </row>
    <row r="138" spans="1:5" x14ac:dyDescent="0.3">
      <c r="A138" t="s">
        <v>286</v>
      </c>
      <c r="B138" t="s">
        <v>286</v>
      </c>
      <c r="C138" t="s">
        <v>287</v>
      </c>
      <c r="D138" t="s">
        <v>129</v>
      </c>
      <c r="E138" t="s">
        <v>288</v>
      </c>
    </row>
    <row r="139" spans="1:5" x14ac:dyDescent="0.3">
      <c r="A139" t="s">
        <v>289</v>
      </c>
      <c r="B139" t="s">
        <v>289</v>
      </c>
      <c r="C139" t="s">
        <v>287</v>
      </c>
      <c r="D139" t="s">
        <v>290</v>
      </c>
      <c r="E139" t="s">
        <v>181</v>
      </c>
    </row>
    <row r="140" spans="1:5" x14ac:dyDescent="0.3">
      <c r="A140" t="s">
        <v>291</v>
      </c>
      <c r="B140" t="s">
        <v>292</v>
      </c>
      <c r="C140" t="s">
        <v>287</v>
      </c>
      <c r="D140" t="s">
        <v>293</v>
      </c>
      <c r="E140" t="s">
        <v>236</v>
      </c>
    </row>
    <row r="141" spans="1:5" x14ac:dyDescent="0.3">
      <c r="A141" t="s">
        <v>294</v>
      </c>
      <c r="B141" t="s">
        <v>295</v>
      </c>
      <c r="C141" t="s">
        <v>287</v>
      </c>
      <c r="D141" t="s">
        <v>293</v>
      </c>
      <c r="E141" t="s">
        <v>236</v>
      </c>
    </row>
    <row r="142" spans="1:5" x14ac:dyDescent="0.3">
      <c r="A142" t="s">
        <v>296</v>
      </c>
      <c r="B142" t="s">
        <v>292</v>
      </c>
      <c r="C142" t="s">
        <v>287</v>
      </c>
      <c r="D142" t="s">
        <v>293</v>
      </c>
      <c r="E142" t="s">
        <v>236</v>
      </c>
    </row>
    <row r="143" spans="1:5" x14ac:dyDescent="0.3">
      <c r="A143" t="s">
        <v>297</v>
      </c>
      <c r="B143" t="s">
        <v>295</v>
      </c>
      <c r="C143" t="s">
        <v>287</v>
      </c>
      <c r="D143" t="s">
        <v>293</v>
      </c>
      <c r="E143" t="s">
        <v>236</v>
      </c>
    </row>
    <row r="144" spans="1:5" x14ac:dyDescent="0.3">
      <c r="A144" t="s">
        <v>298</v>
      </c>
      <c r="B144" t="s">
        <v>299</v>
      </c>
      <c r="C144" t="s">
        <v>287</v>
      </c>
      <c r="D144" t="s">
        <v>129</v>
      </c>
      <c r="E144" t="s">
        <v>284</v>
      </c>
    </row>
    <row r="145" spans="1:5" x14ac:dyDescent="0.3">
      <c r="A145" t="s">
        <v>300</v>
      </c>
      <c r="B145" t="s">
        <v>301</v>
      </c>
      <c r="C145" t="s">
        <v>287</v>
      </c>
      <c r="D145" t="s">
        <v>129</v>
      </c>
      <c r="E145" t="s">
        <v>284</v>
      </c>
    </row>
    <row r="146" spans="1:5" x14ac:dyDescent="0.3">
      <c r="A146" t="s">
        <v>18</v>
      </c>
      <c r="B146" t="s">
        <v>186</v>
      </c>
      <c r="C146" t="s">
        <v>102</v>
      </c>
    </row>
    <row r="149" spans="1:5" x14ac:dyDescent="0.3">
      <c r="A149" t="s">
        <v>302</v>
      </c>
    </row>
    <row r="150" spans="1:5" x14ac:dyDescent="0.3">
      <c r="A150" t="s">
        <v>303</v>
      </c>
    </row>
    <row r="151" spans="1:5" x14ac:dyDescent="0.3">
      <c r="A151" t="s">
        <v>304</v>
      </c>
    </row>
    <row r="152" spans="1:5" x14ac:dyDescent="0.3">
      <c r="A152" t="s">
        <v>305</v>
      </c>
    </row>
    <row r="154" spans="1:5" x14ac:dyDescent="0.3">
      <c r="A154" t="s">
        <v>306</v>
      </c>
    </row>
    <row r="155" spans="1:5" x14ac:dyDescent="0.3">
      <c r="A155" t="s">
        <v>307</v>
      </c>
    </row>
    <row r="156" spans="1:5" x14ac:dyDescent="0.3">
      <c r="A156" t="s">
        <v>308</v>
      </c>
    </row>
    <row r="157" spans="1:5" ht="15.6" x14ac:dyDescent="0.3">
      <c r="A157" s="3" t="s">
        <v>309</v>
      </c>
    </row>
    <row r="158" spans="1:5" ht="15.6" x14ac:dyDescent="0.3">
      <c r="A158" s="3" t="s">
        <v>310</v>
      </c>
    </row>
  </sheetData>
  <hyperlinks>
    <hyperlink ref="A157" r:id="rId1" xr:uid="{00000000-0004-0000-0100-000000000000}"/>
    <hyperlink ref="A158" r:id="rId2" xr:uid="{00000000-0004-0000-0100-000001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8"/>
  <sheetViews>
    <sheetView workbookViewId="0"/>
  </sheetViews>
  <sheetFormatPr defaultRowHeight="14.4" x14ac:dyDescent="0.3"/>
  <cols>
    <col min="1" max="1" width="120" customWidth="1"/>
  </cols>
  <sheetData>
    <row r="1" spans="1:1" x14ac:dyDescent="0.3">
      <c r="A1" t="s">
        <v>311</v>
      </c>
    </row>
    <row r="2" spans="1:1" x14ac:dyDescent="0.3">
      <c r="A2" t="s">
        <v>312</v>
      </c>
    </row>
    <row r="3" spans="1:1" x14ac:dyDescent="0.3">
      <c r="A3" t="s">
        <v>313</v>
      </c>
    </row>
    <row r="5" spans="1:1" x14ac:dyDescent="0.3">
      <c r="A5" t="s">
        <v>314</v>
      </c>
    </row>
    <row r="7" spans="1:1" x14ac:dyDescent="0.3">
      <c r="A7" t="s">
        <v>315</v>
      </c>
    </row>
    <row r="8" spans="1:1" x14ac:dyDescent="0.3">
      <c r="A8" t="s">
        <v>316</v>
      </c>
    </row>
    <row r="9" spans="1:1" x14ac:dyDescent="0.3">
      <c r="A9" t="s">
        <v>317</v>
      </c>
    </row>
    <row r="10" spans="1:1" x14ac:dyDescent="0.3">
      <c r="A10" t="s">
        <v>318</v>
      </c>
    </row>
    <row r="11" spans="1:1" x14ac:dyDescent="0.3">
      <c r="A11" t="s">
        <v>319</v>
      </c>
    </row>
    <row r="12" spans="1:1" x14ac:dyDescent="0.3">
      <c r="A12" t="s">
        <v>320</v>
      </c>
    </row>
    <row r="13" spans="1:1" x14ac:dyDescent="0.3">
      <c r="A13" t="s">
        <v>321</v>
      </c>
    </row>
    <row r="14" spans="1:1" x14ac:dyDescent="0.3">
      <c r="A14" t="s">
        <v>322</v>
      </c>
    </row>
    <row r="15" spans="1:1" x14ac:dyDescent="0.3">
      <c r="A15" t="s">
        <v>323</v>
      </c>
    </row>
    <row r="17" spans="1:1" x14ac:dyDescent="0.3">
      <c r="A17" t="s">
        <v>324</v>
      </c>
    </row>
    <row r="18" spans="1:1" x14ac:dyDescent="0.3">
      <c r="A18" t="s">
        <v>325</v>
      </c>
    </row>
  </sheetData>
  <hyperlinks>
    <hyperlink ref="A2" r:id="rId1" xr:uid="{00000000-0004-0000-0200-000000000000}"/>
    <hyperlink ref="A3" r:id="rId2" xr:uid="{00000000-0004-0000-0200-000001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 Data</vt:lpstr>
      <vt:lpstr>Data Entry Guide</vt:lpstr>
      <vt:lpstr>How to Cite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Edgar Nandayapa</cp:lastModifiedBy>
  <dcterms:created xsi:type="dcterms:W3CDTF">2026-06-03T12:25:12Z</dcterms:created>
  <dcterms:modified xsi:type="dcterms:W3CDTF">2026-06-19T10:01:15Z</dcterms:modified>
</cp:coreProperties>
</file>